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Excel Files\Excel Projects\"/>
    </mc:Choice>
  </mc:AlternateContent>
  <xr:revisionPtr revIDLastSave="0" documentId="13_ncr:1_{8F6B4468-5C38-4FE1-A209-73B15491198B}" xr6:coauthVersionLast="47" xr6:coauthVersionMax="47" xr10:uidLastSave="{00000000-0000-0000-0000-000000000000}"/>
  <bookViews>
    <workbookView xWindow="-108" yWindow="-108" windowWidth="23256" windowHeight="12456" tabRatio="779" xr2:uid="{346724B3-1C49-40AE-AA36-C77CF5D6DD09}"/>
  </bookViews>
  <sheets>
    <sheet name="Dashboard" sheetId="3" r:id="rId1"/>
    <sheet name="Data" sheetId="1" r:id="rId2"/>
    <sheet name="Pivots" sheetId="5" r:id="rId3"/>
    <sheet name="Order Mode" sheetId="6" r:id="rId4"/>
    <sheet name="Quantity Distribution" sheetId="7" r:id="rId5"/>
    <sheet name="Popular Products" sheetId="8" r:id="rId6"/>
    <sheet name="Map Chart" sheetId="10" r:id="rId7"/>
    <sheet name="Ship Order" sheetId="11" r:id="rId8"/>
    <sheet name="Questions &amp; KPIs" sheetId="2" r:id="rId9"/>
  </sheets>
  <definedNames>
    <definedName name="_xlchart.v5.0" hidden="1">'Map Chart'!$F$3:$G$3</definedName>
    <definedName name="_xlchart.v5.1" hidden="1">'Map Chart'!$F$4:$G$61</definedName>
    <definedName name="_xlchart.v5.10" hidden="1">'Map Chart'!$H$3</definedName>
    <definedName name="_xlchart.v5.11" hidden="1">'Map Chart'!$H$4:$H$61</definedName>
    <definedName name="_xlchart.v5.12" hidden="1">'Map Chart'!$K$3:$L$3</definedName>
    <definedName name="_xlchart.v5.13" hidden="1">'Map Chart'!$K$4:$L$61</definedName>
    <definedName name="_xlchart.v5.14" hidden="1">'Map Chart'!$M$2</definedName>
    <definedName name="_xlchart.v5.15" hidden="1">'Map Chart'!$M$3</definedName>
    <definedName name="_xlchart.v5.16" hidden="1">'Map Chart'!$M$4:$M$61</definedName>
    <definedName name="_xlchart.v5.17" hidden="1">'Map Chart'!$F$3:$G$3</definedName>
    <definedName name="_xlchart.v5.18" hidden="1">'Map Chart'!$F$4:$G$61</definedName>
    <definedName name="_xlchart.v5.19" hidden="1">'Map Chart'!$H$2</definedName>
    <definedName name="_xlchart.v5.2" hidden="1">'Map Chart'!$H$3</definedName>
    <definedName name="_xlchart.v5.20" hidden="1">'Map Chart'!$H$3</definedName>
    <definedName name="_xlchart.v5.21" hidden="1">'Map Chart'!$H$4:$H$61</definedName>
    <definedName name="_xlchart.v5.3" hidden="1">'Map Chart'!$H$4:$H$61</definedName>
    <definedName name="_xlchart.v5.4" hidden="1">'Map Chart'!$K$3:$L$3</definedName>
    <definedName name="_xlchart.v5.5" hidden="1">'Map Chart'!$K$4:$L$61</definedName>
    <definedName name="_xlchart.v5.6" hidden="1">'Map Chart'!$M$3</definedName>
    <definedName name="_xlchart.v5.7" hidden="1">'Map Chart'!$M$4:$M$61</definedName>
    <definedName name="_xlchart.v5.8" hidden="1">'Map Chart'!$F$3:$G$3</definedName>
    <definedName name="_xlchart.v5.9" hidden="1">'Map Chart'!$F$4:$G$61</definedName>
    <definedName name="Slicer_Gender_Value">#N/A</definedName>
    <definedName name="Slicer_Order_Mode">#N/A</definedName>
  </definedNames>
  <calcPr calcId="191029"/>
  <pivotCaches>
    <pivotCache cacheId="2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2" i="10" l="1"/>
  <c r="K63" i="10"/>
  <c r="K64" i="10"/>
  <c r="K65" i="10"/>
  <c r="K66" i="10"/>
  <c r="K67" i="10"/>
  <c r="K68" i="10"/>
  <c r="K5" i="10"/>
  <c r="L5" i="10"/>
  <c r="K6" i="10"/>
  <c r="L6" i="10"/>
  <c r="K7" i="10"/>
  <c r="L7" i="10"/>
  <c r="K8" i="10"/>
  <c r="L8" i="10"/>
  <c r="K9" i="10"/>
  <c r="L9" i="10"/>
  <c r="K10" i="10"/>
  <c r="L10" i="10"/>
  <c r="K11" i="10"/>
  <c r="L11" i="10"/>
  <c r="K12" i="10"/>
  <c r="L12" i="10"/>
  <c r="K13" i="10"/>
  <c r="L13" i="10"/>
  <c r="K14" i="10"/>
  <c r="L14" i="10"/>
  <c r="K15" i="10"/>
  <c r="L15" i="10"/>
  <c r="K16" i="10"/>
  <c r="L16" i="10"/>
  <c r="K17" i="10"/>
  <c r="L17" i="10"/>
  <c r="K18" i="10"/>
  <c r="L18" i="10"/>
  <c r="K19" i="10"/>
  <c r="L19" i="10"/>
  <c r="K20" i="10"/>
  <c r="L20" i="10"/>
  <c r="K21" i="10"/>
  <c r="L21" i="10"/>
  <c r="K22" i="10"/>
  <c r="L22" i="10"/>
  <c r="K23" i="10"/>
  <c r="L23" i="10"/>
  <c r="K24" i="10"/>
  <c r="L24" i="10"/>
  <c r="K25" i="10"/>
  <c r="L25" i="10"/>
  <c r="K26" i="10"/>
  <c r="L26" i="10"/>
  <c r="K27" i="10"/>
  <c r="L27" i="10"/>
  <c r="K28" i="10"/>
  <c r="L28" i="10"/>
  <c r="K29" i="10"/>
  <c r="L29" i="10"/>
  <c r="K30" i="10"/>
  <c r="L30" i="10"/>
  <c r="K31" i="10"/>
  <c r="L31" i="10"/>
  <c r="K32" i="10"/>
  <c r="L32" i="10"/>
  <c r="K33" i="10"/>
  <c r="L33" i="10"/>
  <c r="K34" i="10"/>
  <c r="L34" i="10"/>
  <c r="K35" i="10"/>
  <c r="L35" i="10"/>
  <c r="K36" i="10"/>
  <c r="L36" i="10"/>
  <c r="K37" i="10"/>
  <c r="L37" i="10"/>
  <c r="K38" i="10"/>
  <c r="L38" i="10"/>
  <c r="K39" i="10"/>
  <c r="L39" i="10"/>
  <c r="K40" i="10"/>
  <c r="L40" i="10"/>
  <c r="K41" i="10"/>
  <c r="L41" i="10"/>
  <c r="K42" i="10"/>
  <c r="L42" i="10"/>
  <c r="K43" i="10"/>
  <c r="L43" i="10"/>
  <c r="K44" i="10"/>
  <c r="L44" i="10"/>
  <c r="K45" i="10"/>
  <c r="L45" i="10"/>
  <c r="K46" i="10"/>
  <c r="L46" i="10"/>
  <c r="K47" i="10"/>
  <c r="L47" i="10"/>
  <c r="K48" i="10"/>
  <c r="L48" i="10"/>
  <c r="K49" i="10"/>
  <c r="L49" i="10"/>
  <c r="K50" i="10"/>
  <c r="L50" i="10"/>
  <c r="K51" i="10"/>
  <c r="L51" i="10"/>
  <c r="K52" i="10"/>
  <c r="L52" i="10"/>
  <c r="K53" i="10"/>
  <c r="L53" i="10"/>
  <c r="K54" i="10"/>
  <c r="L54" i="10"/>
  <c r="K55" i="10"/>
  <c r="L55" i="10"/>
  <c r="K56" i="10"/>
  <c r="L56" i="10"/>
  <c r="K57" i="10"/>
  <c r="L57" i="10"/>
  <c r="K58" i="10"/>
  <c r="L58" i="10"/>
  <c r="K59" i="10"/>
  <c r="L59" i="10"/>
  <c r="K60" i="10"/>
  <c r="L60" i="10"/>
  <c r="K61" i="10"/>
  <c r="L61" i="10"/>
  <c r="L4" i="10"/>
  <c r="K4" i="10"/>
  <c r="F5" i="10"/>
  <c r="G5" i="10"/>
  <c r="H5" i="10"/>
  <c r="F6" i="10"/>
  <c r="G6" i="10"/>
  <c r="H6" i="10"/>
  <c r="F7" i="10"/>
  <c r="G7" i="10"/>
  <c r="H7" i="10"/>
  <c r="F8" i="10"/>
  <c r="G8" i="10"/>
  <c r="H8" i="10"/>
  <c r="F9" i="10"/>
  <c r="G9" i="10"/>
  <c r="H9" i="10"/>
  <c r="F10" i="10"/>
  <c r="G10" i="10"/>
  <c r="H10" i="10"/>
  <c r="F11" i="10"/>
  <c r="G11" i="10"/>
  <c r="H11" i="10"/>
  <c r="F12" i="10"/>
  <c r="G12" i="10"/>
  <c r="H12" i="10"/>
  <c r="F13" i="10"/>
  <c r="G13" i="10"/>
  <c r="H13" i="10"/>
  <c r="F14" i="10"/>
  <c r="G14" i="10"/>
  <c r="H14" i="10"/>
  <c r="F15" i="10"/>
  <c r="G15" i="10"/>
  <c r="H15" i="10"/>
  <c r="F16" i="10"/>
  <c r="G16" i="10"/>
  <c r="H16" i="10"/>
  <c r="F17" i="10"/>
  <c r="G17" i="10"/>
  <c r="H17" i="10"/>
  <c r="F18" i="10"/>
  <c r="G18" i="10"/>
  <c r="H18" i="10"/>
  <c r="F19" i="10"/>
  <c r="G19" i="10"/>
  <c r="H19" i="10"/>
  <c r="F20" i="10"/>
  <c r="G20" i="10"/>
  <c r="H20" i="10"/>
  <c r="F21" i="10"/>
  <c r="G21" i="10"/>
  <c r="H21" i="10"/>
  <c r="F22" i="10"/>
  <c r="G22" i="10"/>
  <c r="H22" i="10"/>
  <c r="F23" i="10"/>
  <c r="G23" i="10"/>
  <c r="H23" i="10"/>
  <c r="F24" i="10"/>
  <c r="G24" i="10"/>
  <c r="H24" i="10"/>
  <c r="F25" i="10"/>
  <c r="G25" i="10"/>
  <c r="H25" i="10"/>
  <c r="F26" i="10"/>
  <c r="G26" i="10"/>
  <c r="H26" i="10"/>
  <c r="F27" i="10"/>
  <c r="G27" i="10"/>
  <c r="H27" i="10"/>
  <c r="F28" i="10"/>
  <c r="G28" i="10"/>
  <c r="H28" i="10"/>
  <c r="F29" i="10"/>
  <c r="G29" i="10"/>
  <c r="H29" i="10"/>
  <c r="F30" i="10"/>
  <c r="G30" i="10"/>
  <c r="H30" i="10"/>
  <c r="F31" i="10"/>
  <c r="G31" i="10"/>
  <c r="H31" i="10"/>
  <c r="F32" i="10"/>
  <c r="G32" i="10"/>
  <c r="H32" i="10"/>
  <c r="F33" i="10"/>
  <c r="G33" i="10"/>
  <c r="H33" i="10"/>
  <c r="F34" i="10"/>
  <c r="G34" i="10"/>
  <c r="H34" i="10"/>
  <c r="F35" i="10"/>
  <c r="G35" i="10"/>
  <c r="H35" i="10"/>
  <c r="F36" i="10"/>
  <c r="G36" i="10"/>
  <c r="H36" i="10"/>
  <c r="F37" i="10"/>
  <c r="G37" i="10"/>
  <c r="H37" i="10"/>
  <c r="F38" i="10"/>
  <c r="G38" i="10"/>
  <c r="H38" i="10"/>
  <c r="F39" i="10"/>
  <c r="G39" i="10"/>
  <c r="H39" i="10"/>
  <c r="F40" i="10"/>
  <c r="G40" i="10"/>
  <c r="H40" i="10"/>
  <c r="F41" i="10"/>
  <c r="G41" i="10"/>
  <c r="H41" i="10"/>
  <c r="F42" i="10"/>
  <c r="G42" i="10"/>
  <c r="H42" i="10"/>
  <c r="F43" i="10"/>
  <c r="G43" i="10"/>
  <c r="H43" i="10"/>
  <c r="F44" i="10"/>
  <c r="G44" i="10"/>
  <c r="H44" i="10"/>
  <c r="F45" i="10"/>
  <c r="G45" i="10"/>
  <c r="H45" i="10"/>
  <c r="F46" i="10"/>
  <c r="G46" i="10"/>
  <c r="H46" i="10"/>
  <c r="F47" i="10"/>
  <c r="G47" i="10"/>
  <c r="H47" i="10"/>
  <c r="F48" i="10"/>
  <c r="G48" i="10"/>
  <c r="H48" i="10"/>
  <c r="F49" i="10"/>
  <c r="G49" i="10"/>
  <c r="H49" i="10"/>
  <c r="F50" i="10"/>
  <c r="G50" i="10"/>
  <c r="H50" i="10"/>
  <c r="F51" i="10"/>
  <c r="G51" i="10"/>
  <c r="H51" i="10"/>
  <c r="F52" i="10"/>
  <c r="G52" i="10"/>
  <c r="H52" i="10"/>
  <c r="F53" i="10"/>
  <c r="G53" i="10"/>
  <c r="H53" i="10"/>
  <c r="F54" i="10"/>
  <c r="G54" i="10"/>
  <c r="H54" i="10"/>
  <c r="F55" i="10"/>
  <c r="G55" i="10"/>
  <c r="H55" i="10"/>
  <c r="F56" i="10"/>
  <c r="G56" i="10"/>
  <c r="H56" i="10"/>
  <c r="F57" i="10"/>
  <c r="G57" i="10"/>
  <c r="H57" i="10"/>
  <c r="F58" i="10"/>
  <c r="G58" i="10"/>
  <c r="H58" i="10"/>
  <c r="F59" i="10"/>
  <c r="G59" i="10"/>
  <c r="H59" i="10"/>
  <c r="F60" i="10"/>
  <c r="G60" i="10"/>
  <c r="H60" i="10"/>
  <c r="F61" i="10"/>
  <c r="G61" i="10"/>
  <c r="H61" i="10"/>
  <c r="G4" i="10"/>
  <c r="H4" i="10"/>
  <c r="F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4" i="10"/>
  <c r="J9" i="6"/>
  <c r="I4" i="6"/>
  <c r="J4" i="6"/>
  <c r="K4" i="6"/>
  <c r="L4" i="6"/>
  <c r="H5" i="6"/>
  <c r="I5" i="6"/>
  <c r="J5" i="6"/>
  <c r="K5" i="6"/>
  <c r="L5" i="6"/>
  <c r="H6" i="6"/>
  <c r="I6" i="6"/>
  <c r="J6" i="6"/>
  <c r="K6" i="6"/>
  <c r="L6" i="6"/>
  <c r="H7" i="6"/>
  <c r="I7" i="6"/>
  <c r="J7" i="6"/>
  <c r="K7" i="6"/>
  <c r="L7" i="6"/>
  <c r="H8" i="6"/>
  <c r="I8" i="6"/>
  <c r="J8" i="6"/>
  <c r="K8" i="6"/>
  <c r="L8" i="6"/>
  <c r="H9" i="6"/>
  <c r="I9" i="6"/>
  <c r="K9" i="6"/>
  <c r="L9" i="6"/>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<sst xmlns="http://schemas.openxmlformats.org/spreadsheetml/2006/main" count="14643" uniqueCount="2545">
  <si>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</si>
  <si>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</si>
  <si>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</si>
  <si>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</si>
  <si>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</si>
  <si>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</si>
  <si>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</si>
  <si>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</si>
  <si>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</si>
  <si>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</si>
  <si>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</si>
  <si>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</si>
  <si>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</si>
  <si>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</si>
  <si>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</si>
  <si>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</si>
  <si>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</si>
  <si>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</si>
  <si>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</si>
  <si>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</si>
  <si>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</si>
  <si>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</si>
  <si>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</si>
  <si>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</si>
  <si>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</si>
  <si>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</si>
  <si>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</si>
  <si>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</si>
  <si>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</si>
  <si>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</si>
  <si>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</si>
  <si>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</si>
  <si>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</si>
  <si>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</si>
  <si>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</si>
  <si>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</si>
  <si>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</si>
  <si>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</si>
  <si>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</si>
  <si>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</si>
  <si>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</si>
  <si>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</si>
  <si>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</si>
  <si>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</si>
  <si>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</si>
  <si>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</si>
  <si>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</si>
  <si>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</si>
  <si>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</si>
  <si>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</si>
  <si>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</si>
  <si>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</si>
  <si>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</si>
  <si>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</si>
  <si>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</si>
  <si>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</si>
  <si>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</si>
  <si>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</si>
  <si>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</si>
  <si>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</si>
  <si>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</si>
  <si>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</si>
  <si>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</si>
  <si>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</si>
  <si>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</si>
  <si>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</si>
  <si>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</si>
  <si>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</si>
  <si>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</si>
  <si>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</si>
  <si>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</si>
  <si>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</si>
  <si>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</si>
  <si>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</si>
  <si>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</si>
  <si>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</si>
  <si>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</si>
  <si>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</si>
  <si>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</si>
  <si>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</si>
  <si>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</si>
  <si>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</si>
  <si>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</si>
  <si>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</si>
  <si>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</si>
  <si>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</si>
  <si>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</si>
  <si>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</si>
  <si>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</si>
  <si>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</si>
  <si>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</si>
  <si>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</si>
  <si>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</si>
  <si>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</si>
  <si>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</si>
  <si>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</si>
  <si>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</si>
  <si>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</si>
  <si>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</si>
  <si>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</si>
  <si>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</si>
  <si>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</si>
  <si>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</si>
  <si>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</si>
  <si>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</si>
  <si>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</si>
  <si>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</si>
  <si>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</si>
  <si>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</si>
  <si>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</si>
  <si>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</si>
  <si>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</si>
  <si>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</si>
  <si>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</si>
  <si>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</si>
  <si>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</si>
  <si>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</si>
  <si>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</si>
  <si>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</si>
  <si>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</si>
  <si>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</si>
  <si>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</si>
  <si>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</si>
  <si>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</si>
  <si>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</si>
  <si>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</si>
  <si>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</si>
  <si>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</si>
  <si>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</si>
  <si>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</si>
  <si>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</si>
  <si>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</si>
  <si>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</si>
  <si>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</si>
  <si>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</si>
  <si>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</si>
  <si>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</si>
  <si>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</si>
  <si>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</si>
  <si>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</si>
  <si>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</si>
  <si>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</si>
  <si>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</si>
  <si>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</si>
  <si>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</si>
  <si>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</si>
  <si>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</si>
  <si>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</si>
  <si>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</si>
  <si>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</si>
  <si>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</si>
  <si>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</si>
  <si>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</si>
  <si>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</si>
  <si>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</si>
  <si>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</si>
  <si>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</si>
  <si>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</si>
  <si>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</si>
  <si>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</si>
  <si>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</si>
  <si>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</si>
  <si>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</si>
  <si>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</si>
  <si>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</si>
  <si>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</si>
  <si>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</si>
  <si>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</si>
  <si>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</si>
  <si>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</si>
  <si>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</si>
  <si>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</si>
  <si>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</si>
  <si>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</si>
  <si>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</si>
  <si>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</si>
  <si>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</si>
  <si>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</si>
  <si>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</si>
  <si>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</si>
  <si>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</si>
  <si>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</si>
  <si>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</si>
  <si>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</si>
  <si>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</si>
  <si>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</si>
  <si>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</si>
  <si>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</si>
  <si>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</si>
  <si>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</si>
  <si>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</si>
  <si>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</si>
  <si>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</si>
  <si>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</si>
  <si>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</si>
  <si>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</si>
  <si>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</si>
  <si>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</si>
  <si>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</si>
  <si>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</si>
  <si>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</si>
  <si>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</si>
  <si>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</si>
  <si>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</si>
  <si>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</si>
  <si>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</si>
  <si>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</si>
  <si>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</si>
  <si>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</si>
  <si>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</si>
  <si>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</si>
  <si>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</si>
  <si>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</si>
  <si>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</si>
  <si>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</si>
  <si>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</si>
  <si>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</si>
  <si>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</si>
  <si>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</si>
  <si>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</si>
  <si>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</si>
  <si>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</si>
  <si>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</si>
  <si>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</si>
  <si>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</si>
  <si>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</si>
  <si>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</si>
  <si>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</si>
  <si>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</si>
  <si>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</si>
  <si>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</si>
  <si>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</si>
  <si>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</si>
  <si>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</si>
  <si>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</si>
  <si>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</si>
  <si>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</si>
  <si>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</si>
  <si>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</si>
  <si>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</si>
  <si>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</si>
  <si>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</si>
  <si>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</si>
  <si>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</si>
  <si>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</si>
  <si>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</si>
  <si>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</si>
  <si>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</si>
  <si>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</si>
  <si>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</si>
  <si>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</si>
  <si>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</si>
  <si>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</si>
  <si>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</si>
  <si>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</si>
  <si>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</si>
  <si>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</si>
  <si>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</si>
  <si>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</si>
  <si>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</si>
  <si>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</si>
  <si>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</si>
  <si>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</si>
  <si>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</si>
  <si>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</si>
  <si>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</si>
  <si>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</si>
  <si>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</si>
  <si>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</si>
  <si>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</si>
  <si>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</si>
  <si>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</si>
  <si>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</si>
  <si>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</si>
  <si>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</si>
  <si>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</si>
  <si>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</si>
  <si>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</si>
  <si>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</si>
  <si>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</si>
  <si>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</si>
  <si>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</si>
  <si>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</si>
  <si>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</si>
  <si>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</si>
  <si>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</si>
  <si>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</si>
  <si>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</si>
  <si>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</si>
  <si>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</si>
  <si>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</si>
  <si>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</si>
  <si>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</si>
  <si>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</si>
  <si>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</si>
  <si>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</si>
  <si>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</si>
  <si>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</si>
  <si>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</si>
  <si>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</si>
  <si>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</si>
  <si>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</si>
  <si>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</si>
  <si>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</si>
  <si>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</si>
  <si>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</si>
  <si>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</si>
  <si>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</si>
  <si>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</si>
  <si>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</si>
  <si>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</si>
  <si>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</si>
  <si>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</si>
  <si>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</si>
  <si>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</si>
  <si>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</si>
  <si>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</si>
  <si>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</si>
  <si>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</si>
  <si>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</si>
  <si>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</si>
  <si>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</si>
  <si>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</si>
  <si>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</si>
  <si>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</si>
  <si>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</si>
  <si>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</si>
  <si>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</si>
  <si>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</si>
  <si>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</si>
  <si>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</si>
  <si>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</si>
  <si>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</si>
  <si>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</si>
  <si>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</si>
  <si>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</si>
  <si>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</si>
  <si>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</si>
  <si>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</si>
  <si>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</si>
  <si>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</si>
  <si>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</si>
  <si>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</si>
  <si>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</si>
  <si>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</si>
  <si>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</si>
  <si>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</si>
  <si>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</si>
  <si>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</si>
  <si>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</si>
  <si>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</si>
  <si>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</si>
  <si>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</si>
  <si>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</si>
  <si>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</si>
  <si>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</si>
  <si>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</si>
  <si>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</si>
  <si>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</si>
  <si>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</si>
  <si>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</si>
  <si>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</si>
  <si>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</si>
  <si>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</si>
  <si>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</si>
  <si>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</si>
  <si>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</si>
  <si>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</si>
  <si>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</si>
  <si>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</si>
  <si>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</si>
  <si>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</si>
  <si>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</si>
  <si>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</si>
  <si>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</si>
  <si>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</si>
  <si>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</si>
  <si>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</si>
  <si>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</si>
  <si>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</si>
  <si>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</si>
  <si>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</si>
  <si>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</si>
  <si>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</si>
  <si>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</si>
  <si>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</si>
  <si>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</si>
  <si>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</si>
  <si>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</si>
  <si>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</si>
  <si>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</si>
  <si>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</si>
  <si>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</si>
  <si>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</si>
  <si>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</si>
  <si>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</si>
  <si>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</si>
  <si>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</si>
  <si>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</si>
  <si>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</si>
  <si>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</si>
  <si>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</si>
  <si>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</si>
  <si>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</si>
  <si>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</si>
  <si>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</si>
  <si>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</si>
  <si>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</si>
  <si>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</si>
  <si>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</si>
  <si>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</si>
  <si>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</si>
  <si>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</si>
  <si>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</si>
  <si>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</si>
  <si>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</si>
  <si>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</si>
  <si>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</si>
  <si>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</si>
  <si>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</si>
  <si>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</si>
  <si>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</si>
  <si>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</si>
  <si>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</si>
  <si>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</si>
  <si>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</si>
  <si>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</si>
  <si>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</si>
  <si>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</si>
  <si>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</si>
  <si>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</si>
  <si>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</si>
  <si>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</si>
  <si>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</si>
  <si>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</si>
  <si>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</si>
  <si>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</si>
  <si>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</si>
  <si>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</si>
  <si>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</si>
  <si>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</si>
  <si>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</si>
  <si>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</si>
  <si>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</si>
  <si>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</si>
  <si>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</si>
  <si>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</si>
  <si>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</si>
  <si>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</si>
  <si>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</si>
  <si>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</si>
  <si>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</si>
  <si>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</si>
  <si>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</si>
  <si>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</si>
  <si>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</si>
  <si>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</si>
  <si>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</si>
  <si>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</si>
  <si>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</si>
  <si>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</si>
  <si>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</si>
  <si>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</si>
  <si>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</si>
  <si>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</si>
  <si>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</si>
  <si>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</si>
  <si>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</si>
  <si>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</si>
  <si>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</si>
  <si>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</si>
  <si>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</si>
  <si>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</si>
  <si>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</si>
  <si>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</si>
  <si>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</si>
  <si>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</si>
  <si>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</si>
  <si>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</si>
  <si>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</si>
  <si>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</si>
  <si>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</si>
  <si>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</si>
  <si>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</si>
  <si>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</si>
  <si>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</si>
  <si>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</si>
  <si>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</si>
  <si>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</si>
  <si>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</si>
  <si>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</si>
  <si>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</si>
  <si>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</si>
  <si>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</si>
  <si>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</si>
  <si>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</si>
  <si>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</si>
  <si>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</si>
  <si>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</si>
  <si>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</si>
  <si>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</si>
  <si>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</si>
  <si>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</si>
  <si>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</si>
  <si>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</si>
  <si>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</si>
  <si>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</si>
  <si>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</si>
  <si>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</si>
  <si>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</si>
  <si>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</si>
  <si>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</si>
  <si>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</si>
  <si>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</si>
  <si>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</si>
  <si>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</si>
  <si>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</si>
  <si>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</si>
  <si>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</si>
  <si>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</si>
  <si>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</si>
  <si>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</si>
  <si>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</si>
  <si>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</si>
  <si>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</si>
  <si>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</si>
  <si>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</si>
  <si>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</si>
  <si>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</si>
  <si>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</si>
  <si>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</si>
  <si>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</si>
  <si>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</si>
  <si>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</si>
  <si>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</si>
  <si>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</si>
  <si>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</si>
  <si>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</si>
  <si>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</si>
  <si>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</si>
  <si>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</si>
  <si>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</si>
  <si>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</si>
  <si>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</si>
  <si>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</si>
  <si>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</si>
  <si>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</si>
  <si>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</si>
  <si>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</si>
  <si>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</si>
  <si>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</si>
  <si>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</si>
  <si>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</si>
  <si>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</si>
  <si>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</si>
  <si>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</si>
  <si>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</si>
  <si>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</si>
  <si>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</si>
  <si>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</si>
  <si>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</si>
  <si>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</si>
  <si>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</si>
  <si>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</si>
  <si>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</si>
  <si>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</si>
  <si>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</si>
  <si>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</si>
  <si>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</si>
  <si>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</si>
  <si>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</si>
  <si>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</si>
  <si>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</si>
  <si>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</si>
  <si>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</si>
  <si>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</si>
  <si>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</si>
  <si>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</si>
  <si>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</si>
  <si>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</si>
  <si>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</si>
  <si>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</si>
  <si>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</si>
  <si>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</si>
  <si>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</si>
  <si>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</si>
  <si>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</si>
  <si>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</si>
  <si>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</si>
  <si>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</si>
  <si>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</si>
  <si>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</si>
  <si>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</si>
  <si>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</si>
  <si>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</si>
  <si>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</si>
  <si>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</si>
  <si>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</si>
  <si>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</si>
  <si>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</si>
  <si>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</si>
  <si>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</si>
  <si>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</si>
  <si>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</si>
  <si>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</si>
  <si>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</si>
  <si>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</si>
  <si>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</si>
  <si>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</si>
  <si>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</si>
  <si>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</si>
  <si>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</si>
  <si>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</si>
  <si>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</si>
  <si>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</si>
  <si>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</si>
  <si>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</si>
  <si>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</si>
  <si>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</si>
  <si>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</si>
  <si>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</si>
  <si>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</si>
  <si>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</si>
  <si>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</si>
  <si>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</si>
  <si>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</si>
  <si>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</si>
  <si>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</si>
  <si>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</si>
  <si>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</si>
  <si>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</si>
  <si>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</si>
  <si>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</si>
  <si>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</si>
  <si>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</si>
  <si>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</si>
  <si>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</si>
  <si>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</si>
  <si>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</si>
  <si>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</si>
  <si>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</si>
  <si>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</si>
  <si>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</si>
  <si>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</si>
  <si>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</si>
  <si>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</si>
  <si>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</si>
  <si>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</si>
  <si>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</si>
  <si>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</si>
  <si>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</si>
  <si>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</si>
  <si>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</si>
  <si>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</si>
  <si>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</si>
  <si>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</si>
  <si>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</si>
  <si>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</si>
  <si>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</si>
  <si>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</si>
  <si>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</si>
  <si>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</si>
  <si>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</si>
  <si>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</si>
  <si>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</si>
  <si>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</si>
  <si>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</si>
  <si>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</si>
  <si>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</si>
  <si>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</si>
  <si>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</si>
  <si>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</si>
  <si>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</si>
  <si>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</si>
  <si>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</si>
  <si>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</si>
  <si>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</si>
  <si>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</si>
  <si>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</si>
  <si>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</si>
  <si>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</si>
  <si>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</si>
  <si>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</si>
  <si>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</si>
  <si>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</si>
  <si>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</si>
  <si>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</si>
  <si>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</si>
  <si>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</si>
  <si>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</si>
  <si>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</si>
  <si>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</si>
  <si>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</si>
  <si>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</si>
  <si>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</si>
  <si>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</si>
  <si>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</si>
  <si>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</si>
  <si>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</si>
  <si>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</si>
  <si>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</si>
  <si>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</si>
  <si>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</si>
  <si>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</si>
  <si>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</si>
  <si>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</si>
  <si>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</si>
  <si>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</si>
  <si>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</si>
  <si>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</si>
  <si>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</si>
  <si>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</si>
  <si>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</si>
  <si>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</si>
  <si>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</si>
  <si>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</si>
  <si>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</si>
  <si>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</si>
  <si>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</si>
  <si>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</si>
  <si>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</si>
  <si>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</si>
  <si>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</si>
  <si>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</si>
  <si>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</si>
  <si>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</si>
  <si>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</si>
  <si>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</si>
  <si>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</si>
  <si>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</si>
  <si>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</si>
  <si>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</si>
  <si>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</si>
  <si>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</si>
  <si>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</si>
  <si>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</si>
  <si>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</si>
  <si>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</si>
  <si>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</si>
  <si>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</si>
  <si>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</si>
  <si>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</si>
  <si>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</si>
  <si>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</si>
  <si>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</si>
  <si>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</si>
  <si>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</si>
  <si>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</si>
  <si>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</si>
  <si>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</si>
  <si>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</si>
  <si>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</si>
  <si>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</si>
  <si>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</si>
  <si>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</si>
  <si>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</si>
  <si>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</si>
  <si>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</si>
  <si>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</si>
  <si>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</si>
  <si>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</si>
  <si>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</si>
  <si>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</si>
  <si>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</si>
  <si>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</si>
  <si>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</si>
  <si>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</si>
  <si>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</si>
  <si>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</si>
  <si>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</si>
  <si>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</si>
  <si>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</si>
  <si>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</si>
  <si>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</si>
  <si>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</si>
  <si>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</si>
  <si>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</si>
  <si>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</si>
  <si>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</si>
  <si>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</si>
  <si>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</si>
  <si>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</si>
  <si>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</si>
  <si>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</si>
  <si>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</si>
  <si>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</si>
  <si>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</si>
  <si>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</si>
  <si>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</si>
  <si>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</si>
  <si>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</si>
  <si>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</si>
  <si>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</si>
  <si>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</si>
  <si>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</si>
  <si>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</si>
  <si>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</si>
  <si>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</si>
  <si>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</si>
  <si>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</si>
  <si>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</si>
  <si>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</si>
  <si>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</si>
  <si>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</si>
  <si>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</si>
  <si>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</si>
  <si>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</si>
  <si>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</si>
  <si>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</si>
  <si>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</si>
  <si>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</si>
  <si>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</si>
  <si>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</si>
  <si>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</si>
  <si>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</si>
  <si>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</si>
  <si>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</si>
  <si>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</si>
  <si>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</si>
  <si>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</si>
  <si>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</si>
  <si>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</si>
  <si>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</si>
  <si>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</si>
  <si>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</si>
  <si>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</si>
  <si>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</si>
  <si>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</si>
  <si>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</si>
  <si>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</si>
  <si>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</si>
  <si>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</si>
  <si>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</si>
  <si>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</si>
  <si>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</si>
  <si>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</si>
  <si>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</si>
  <si>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</si>
  <si>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</si>
  <si>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</si>
  <si>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</si>
  <si>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</si>
  <si>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</si>
  <si>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</si>
  <si>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</si>
  <si>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</si>
  <si>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</si>
  <si>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</si>
  <si>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</si>
  <si>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</si>
  <si>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</si>
  <si>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</si>
  <si>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</si>
  <si>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</si>
  <si>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</si>
  <si>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</si>
  <si>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</si>
  <si>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</si>
  <si>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</si>
  <si>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</si>
  <si>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</si>
  <si>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</si>
  <si>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</si>
  <si>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</si>
  <si>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</si>
  <si>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</si>
  <si>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</si>
  <si>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</si>
  <si>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</si>
  <si>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</si>
  <si>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</si>
  <si>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</si>
  <si>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</si>
  <si>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</si>
  <si>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</si>
  <si>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</si>
  <si>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</si>
  <si>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</si>
  <si>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</si>
  <si>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</si>
  <si>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</si>
  <si>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</si>
  <si>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</si>
  <si>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</si>
  <si>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</si>
  <si>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</si>
  <si>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</si>
  <si>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</si>
  <si>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</si>
  <si>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</si>
  <si>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</si>
  <si>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</si>
  <si>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</si>
  <si>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</si>
  <si>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</si>
  <si>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</si>
  <si>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</si>
  <si>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</si>
  <si>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</si>
  <si>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</si>
  <si>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</si>
  <si>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</si>
  <si>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</si>
  <si>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</si>
  <si>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</si>
  <si>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</si>
  <si>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</si>
  <si>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</si>
  <si>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</si>
  <si>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</si>
  <si>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</si>
  <si>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</si>
  <si>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</si>
  <si>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</si>
  <si>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</si>
  <si>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</si>
  <si>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</si>
  <si>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</si>
  <si>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</si>
  <si>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</si>
  <si>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</si>
  <si>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</si>
  <si>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</si>
  <si>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</si>
  <si>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</si>
  <si>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</si>
  <si>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</si>
  <si>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</si>
  <si>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</si>
  <si>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</si>
  <si>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</si>
  <si>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</si>
  <si>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</si>
  <si>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</si>
  <si>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</si>
  <si>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</si>
  <si>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</si>
  <si>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</si>
  <si>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</si>
  <si>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</si>
  <si>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</si>
  <si>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</si>
  <si>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</si>
  <si>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</si>
  <si>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</si>
  <si>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</si>
  <si>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</si>
  <si>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</si>
  <si>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</si>
  <si>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</si>
  <si>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</si>
  <si>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</si>
  <si>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</si>
  <si>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</si>
  <si>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</si>
  <si>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</si>
  <si>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</si>
  <si>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</si>
  <si>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</si>
  <si>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</si>
  <si>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</si>
  <si>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</si>
  <si>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</si>
  <si>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</si>
  <si>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</si>
  <si>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</si>
  <si>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</si>
  <si>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</si>
  <si>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</si>
  <si>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</si>
  <si>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</si>
  <si>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</si>
  <si>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</si>
  <si>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</si>
  <si>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</si>
  <si>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</si>
  <si>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</si>
  <si>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</si>
  <si>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</si>
  <si>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</si>
  <si>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</si>
  <si>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</si>
  <si>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</si>
  <si>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</si>
  <si>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</si>
  <si>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</si>
  <si>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</si>
  <si>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</si>
  <si>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</si>
  <si>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</si>
  <si>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</si>
  <si>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</si>
  <si>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</si>
  <si>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</si>
  <si>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</si>
  <si>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</si>
  <si>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</si>
  <si>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</si>
  <si>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</si>
  <si>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</si>
  <si>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</si>
  <si>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</si>
  <si>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</si>
  <si>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</si>
  <si>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</si>
  <si>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</si>
  <si>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</si>
  <si>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</si>
  <si>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</si>
  <si>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</si>
  <si>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</si>
  <si>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</si>
  <si>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</si>
  <si>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</si>
  <si>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</si>
  <si>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</si>
  <si>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</si>
  <si>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</si>
  <si>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</si>
  <si>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</si>
  <si>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</si>
  <si>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</si>
  <si>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</si>
  <si>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</si>
  <si>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</si>
  <si>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</si>
  <si>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</si>
  <si>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</si>
  <si>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</si>
  <si>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</si>
  <si>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</si>
  <si>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</si>
  <si>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</si>
  <si>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</si>
  <si>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</si>
  <si>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</si>
  <si>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</si>
  <si>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</si>
  <si>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</si>
  <si>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</si>
  <si>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</si>
  <si>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</si>
  <si>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</si>
  <si>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</si>
  <si>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</si>
  <si>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</si>
  <si>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</si>
  <si>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</si>
  <si>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</si>
  <si>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</si>
  <si>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</si>
  <si>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</si>
  <si>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</si>
  <si>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</si>
  <si>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</si>
  <si>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</si>
  <si>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</si>
  <si>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</si>
  <si>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</si>
  <si>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</si>
  <si>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</si>
  <si>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</si>
  <si>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</si>
  <si>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</si>
  <si>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</si>
  <si>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</si>
  <si>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</si>
  <si>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</si>
  <si>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</si>
  <si>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</si>
  <si>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</si>
  <si>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</si>
  <si>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</si>
  <si>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</si>
  <si>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</si>
  <si>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</si>
  <si>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</si>
  <si>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</si>
  <si>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</si>
  <si>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</si>
  <si>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</si>
  <si>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</si>
  <si>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</si>
  <si>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</si>
  <si>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</si>
  <si>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</si>
  <si>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</si>
  <si>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</si>
  <si>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</si>
  <si>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</si>
  <si>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</si>
  <si>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</si>
  <si>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</si>
  <si>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</si>
  <si>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</si>
  <si>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</si>
  <si>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</si>
  <si>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</si>
  <si>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</si>
  <si>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</si>
  <si>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</si>
  <si>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</si>
  <si>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</si>
  <si>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</si>
  <si>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</si>
  <si>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</si>
  <si>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</si>
  <si>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</si>
  <si>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</si>
  <si>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</si>
  <si>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</si>
  <si>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</si>
  <si>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</si>
  <si>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</si>
  <si>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</si>
  <si>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</si>
  <si>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</si>
  <si>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</si>
  <si>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</si>
  <si>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</si>
  <si>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</si>
  <si>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</si>
  <si>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</si>
  <si>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</si>
  <si>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</si>
  <si>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</si>
  <si>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</si>
  <si>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</si>
  <si>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</si>
  <si>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</si>
  <si>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</si>
  <si>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</si>
  <si>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</si>
  <si>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</si>
  <si>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</si>
  <si>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</si>
  <si>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</si>
  <si>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</si>
  <si>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</si>
  <si>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</si>
  <si>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</si>
  <si>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</si>
  <si>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</si>
  <si>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</si>
  <si>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</si>
  <si>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</si>
  <si>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</si>
  <si>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</si>
  <si>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</si>
  <si>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</si>
  <si>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</si>
  <si>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</si>
  <si>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</si>
  <si>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</si>
  <si>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</si>
  <si>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</si>
  <si>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</si>
  <si>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</si>
  <si>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</si>
  <si>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</si>
  <si>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</si>
  <si>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</si>
  <si>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</si>
  <si>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</si>
  <si>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</si>
  <si>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</si>
  <si>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</si>
  <si>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</si>
  <si>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</si>
  <si>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</si>
  <si>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</si>
  <si>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</si>
  <si>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</si>
  <si>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</si>
  <si>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</si>
  <si>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</si>
  <si>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</si>
  <si>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</si>
  <si>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</si>
  <si>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</si>
  <si>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</si>
  <si>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</si>
  <si>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</si>
  <si>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</si>
  <si>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</si>
  <si>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</si>
  <si>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</si>
  <si>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</si>
  <si>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</si>
  <si>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</si>
  <si>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</si>
  <si>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</si>
  <si>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</si>
  <si>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</si>
  <si>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</si>
  <si>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</si>
  <si>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</si>
  <si>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</si>
  <si>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</si>
  <si>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</si>
  <si>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</si>
  <si>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</si>
  <si>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</si>
  <si>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</si>
  <si>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</si>
  <si>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</si>
  <si>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</si>
  <si>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</si>
  <si>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</si>
  <si>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</si>
  <si>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</si>
  <si>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</si>
  <si>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</si>
  <si>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</si>
  <si>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</si>
  <si>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</si>
  <si>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</si>
  <si>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</si>
  <si>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</si>
  <si>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</si>
  <si>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</si>
  <si>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</si>
  <si>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</si>
  <si>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</si>
  <si>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</si>
  <si>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</si>
  <si>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</si>
  <si>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</si>
  <si>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</si>
  <si>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</si>
  <si>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</si>
  <si>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</si>
  <si>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</si>
  <si>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</si>
  <si>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</si>
  <si>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</si>
  <si>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</si>
  <si>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</si>
  <si>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</si>
  <si>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</si>
  <si>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</si>
  <si>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</si>
  <si>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</si>
  <si>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</si>
  <si>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</si>
  <si>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</si>
  <si>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</si>
  <si>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</si>
  <si>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</si>
  <si>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</si>
  <si>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</si>
  <si>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</si>
  <si>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</si>
  <si>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</si>
  <si>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</si>
  <si>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</si>
  <si>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</si>
  <si>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</si>
  <si>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</si>
  <si>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</si>
  <si>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</si>
  <si>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</si>
  <si>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</si>
  <si>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</si>
  <si>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</si>
  <si>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</si>
  <si>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</si>
  <si>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</si>
  <si>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</si>
  <si>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</si>
  <si>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</si>
  <si>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</si>
  <si>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</si>
  <si>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</si>
  <si>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</si>
  <si>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</si>
  <si>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</si>
  <si>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</si>
  <si>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</si>
  <si>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</si>
  <si>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</si>
  <si>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</si>
  <si>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</si>
  <si>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</si>
  <si>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</si>
  <si>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</si>
  <si>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</si>
  <si>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</si>
  <si>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</si>
  <si>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</si>
  <si>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</si>
  <si>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</si>
  <si>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</si>
  <si>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</si>
  <si>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</si>
  <si>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</si>
  <si>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</si>
  <si>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</si>
  <si>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</si>
  <si>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</si>
  <si>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</si>
  <si>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</si>
  <si>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</si>
  <si>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</si>
  <si>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</si>
  <si>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</si>
  <si>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</si>
  <si>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</si>
  <si>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</si>
  <si>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</si>
  <si>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</si>
  <si>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</si>
  <si>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</si>
  <si>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</si>
  <si>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</si>
  <si>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</si>
  <si>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</si>
  <si>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</si>
  <si>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</si>
  <si>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</si>
  <si>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</si>
  <si>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</si>
  <si>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</si>
  <si>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</si>
  <si>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</si>
  <si>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</si>
  <si>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</si>
  <si>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</si>
  <si>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</si>
  <si>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</si>
  <si>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</si>
  <si>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</si>
  <si>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</si>
  <si>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</si>
  <si>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</si>
  <si>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</si>
  <si>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</si>
  <si>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</si>
  <si>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</si>
  <si>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</si>
  <si>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</si>
  <si>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</si>
  <si>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</si>
  <si>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</si>
  <si>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</si>
  <si>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</si>
  <si>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</si>
  <si>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</si>
  <si>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</si>
  <si>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</si>
  <si>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</si>
  <si>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</si>
  <si>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</si>
  <si>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</si>
  <si>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</si>
  <si>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</si>
  <si>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</si>
  <si>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</si>
  <si>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</si>
  <si>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</si>
  <si>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</si>
  <si>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</si>
  <si>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</si>
  <si>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</si>
  <si>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</si>
  <si>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</si>
  <si>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</si>
  <si>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</si>
  <si>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</si>
  <si>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</si>
  <si>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</si>
  <si>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</si>
  <si>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</si>
  <si>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</si>
  <si>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</si>
  <si>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</si>
  <si>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</si>
  <si>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</si>
  <si>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</si>
  <si>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</si>
  <si>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</si>
  <si>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</si>
  <si>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</si>
  <si>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</si>
  <si>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</si>
  <si>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</si>
  <si>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</si>
  <si>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</si>
  <si>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</si>
  <si>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</si>
  <si>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</si>
  <si>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</si>
  <si>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</si>
  <si>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</si>
  <si>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</si>
  <si>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</si>
  <si>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</si>
  <si>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</si>
  <si>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</si>
  <si>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</si>
  <si>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</si>
  <si>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</si>
  <si>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</si>
  <si>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</si>
  <si>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</si>
  <si>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</si>
  <si>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</si>
  <si>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</si>
  <si>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</si>
  <si>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</si>
  <si>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</si>
  <si>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</si>
  <si>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</si>
  <si>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</si>
  <si>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</si>
  <si>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</si>
  <si>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</si>
  <si>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</si>
  <si>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</si>
  <si>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</si>
  <si>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</si>
  <si>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</si>
  <si>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</si>
  <si>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</si>
  <si>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</si>
  <si>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</si>
  <si>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</si>
  <si>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</si>
  <si>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</si>
  <si>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</si>
  <si>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</si>
  <si>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</si>
  <si>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</si>
  <si>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</si>
  <si>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</si>
  <si>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</si>
  <si>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</si>
  <si>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</si>
  <si>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</si>
  <si>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</si>
  <si>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</si>
  <si>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</si>
  <si>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</si>
  <si>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</si>
  <si>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</si>
  <si>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</si>
  <si>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</si>
  <si>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</si>
  <si>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</si>
  <si>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</si>
  <si>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</si>
  <si>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</si>
  <si>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</si>
  <si>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</si>
  <si>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</si>
  <si>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</si>
  <si>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</si>
  <si>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</si>
  <si>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</si>
  <si>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</si>
  <si>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</si>
  <si>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</si>
  <si>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</si>
  <si>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</si>
  <si>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</si>
  <si>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</si>
  <si>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</si>
  <si>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</si>
  <si>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</si>
  <si>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</si>
  <si>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</si>
  <si>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</si>
  <si>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</si>
  <si>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</si>
  <si>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</si>
  <si>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</si>
  <si>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</si>
  <si>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</si>
  <si>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</si>
  <si>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</si>
  <si>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</si>
  <si>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</si>
  <si>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</si>
  <si>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</si>
  <si>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</si>
  <si>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</si>
  <si>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</si>
  <si>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</si>
  <si>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</si>
  <si>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</si>
  <si>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</si>
  <si>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</si>
  <si>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</si>
  <si>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</si>
  <si>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</si>
  <si>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</si>
  <si>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</si>
  <si>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</si>
  <si>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</si>
  <si>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</si>
  <si>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</si>
  <si>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</si>
  <si>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</si>
  <si>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</si>
  <si>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</si>
  <si>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</si>
  <si>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</si>
  <si>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</si>
  <si>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</si>
  <si>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</si>
  <si>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</si>
  <si>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</si>
  <si>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</si>
  <si>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</si>
  <si>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</si>
  <si>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</si>
  <si>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</si>
  <si>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</si>
  <si>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</si>
  <si>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</si>
  <si>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</si>
  <si>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</si>
  <si>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</si>
  <si>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</si>
  <si>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</si>
  <si>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</si>
  <si>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</si>
  <si>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</si>
  <si>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</si>
  <si>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</si>
  <si>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</si>
  <si>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</si>
  <si>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</si>
  <si>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</si>
  <si>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</si>
  <si>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</si>
  <si>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</si>
  <si>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</si>
  <si>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</si>
  <si>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</si>
  <si>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</si>
  <si>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</si>
  <si>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</si>
  <si>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</si>
  <si>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</si>
  <si>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</si>
  <si>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</si>
  <si>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</si>
  <si>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</si>
  <si>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</si>
  <si>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</si>
  <si>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</si>
  <si>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</si>
  <si>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</si>
  <si>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</si>
  <si>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</si>
  <si>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</si>
  <si>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</si>
  <si>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</si>
  <si>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</si>
  <si>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</si>
  <si>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</si>
  <si>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</si>
  <si>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</si>
  <si>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</si>
  <si>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</si>
  <si>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</si>
  <si>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</si>
  <si>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</si>
  <si>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</si>
  <si>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</si>
  <si>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</si>
  <si>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</si>
  <si>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</si>
  <si>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</si>
  <si>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</si>
  <si>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</si>
  <si>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</si>
  <si>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</si>
  <si>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</si>
  <si>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</si>
  <si>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</si>
  <si>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</si>
  <si>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</si>
  <si>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</si>
  <si>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</si>
  <si>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</si>
  <si>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</si>
  <si>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</si>
  <si>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</si>
  <si>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</si>
  <si>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</si>
  <si>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</si>
  <si>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</si>
  <si>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</si>
  <si>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</si>
  <si>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</si>
  <si>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</si>
  <si>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</si>
  <si>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</si>
  <si>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</si>
  <si>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</si>
  <si>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</si>
  <si>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</si>
  <si>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</si>
  <si>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</si>
  <si>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</si>
  <si>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</si>
  <si>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</si>
  <si>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</si>
  <si>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</si>
  <si>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</si>
  <si>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</si>
  <si>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</si>
  <si>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</si>
  <si>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</si>
  <si>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</si>
  <si>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</si>
  <si>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</si>
  <si>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</si>
  <si>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</si>
  <si>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</si>
  <si>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</si>
  <si>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</si>
  <si>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</si>
  <si>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</si>
  <si>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</si>
  <si>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</si>
  <si>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</si>
  <si>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</si>
  <si>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</si>
  <si>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</si>
  <si>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</si>
  <si>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</si>
  <si>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</si>
  <si>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</si>
  <si>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</si>
  <si>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</si>
  <si>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</si>
  <si>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</si>
  <si>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</si>
  <si>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</si>
  <si>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</si>
  <si>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</si>
  <si>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</si>
  <si>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</si>
  <si>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</si>
  <si>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</si>
  <si>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</si>
  <si>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</si>
  <si>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</si>
  <si>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</si>
  <si>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</si>
  <si>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</si>
  <si>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</si>
  <si>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</si>
  <si>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</si>
  <si>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</si>
  <si>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</si>
  <si>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</si>
  <si>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</si>
  <si>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</si>
  <si>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</si>
  <si>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</si>
  <si>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</si>
  <si>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</si>
  <si>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</si>
  <si>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</si>
  <si>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</si>
  <si>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</si>
  <si>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</si>
  <si>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</si>
  <si>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</si>
  <si>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</si>
  <si>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</si>
  <si>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</si>
  <si>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</si>
  <si>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</si>
  <si>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</si>
  <si>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</si>
  <si>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</si>
  <si>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</si>
  <si>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</si>
  <si>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</si>
  <si>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</si>
  <si>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</si>
  <si>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</si>
  <si>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</si>
  <si>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</si>
  <si>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</si>
  <si>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</si>
  <si>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</si>
  <si>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</si>
  <si>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</si>
  <si>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</si>
  <si>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</si>
  <si>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</si>
  <si>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</si>
  <si>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</si>
  <si>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</si>
  <si>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</si>
  <si>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</si>
  <si>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</si>
  <si>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</si>
  <si>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</si>
  <si>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</si>
  <si>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</si>
  <si>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</si>
  <si>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</si>
  <si>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</si>
  <si>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</si>
  <si>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</si>
  <si>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</si>
  <si>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</si>
  <si>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</si>
  <si>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</si>
  <si>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</si>
  <si>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</si>
  <si>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</si>
  <si>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</si>
  <si>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</si>
  <si>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</si>
  <si>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</si>
  <si>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</si>
  <si>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</si>
  <si>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</si>
  <si>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</si>
  <si>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</si>
  <si>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</si>
  <si>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</si>
  <si>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</si>
  <si>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</si>
  <si>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</si>
  <si>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</si>
  <si>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</si>
  <si>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</si>
  <si>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</si>
  <si>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</si>
  <si>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</si>
  <si>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</si>
  <si>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</si>
  <si>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</si>
  <si>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</si>
  <si>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</si>
  <si>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</si>
  <si>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</si>
  <si>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</si>
  <si>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</si>
  <si>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</si>
  <si>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</si>
  <si>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</si>
  <si>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</si>
  <si>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</si>
  <si>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</si>
  <si>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</si>
  <si>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</si>
  <si>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</si>
  <si>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</si>
  <si>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</si>
  <si>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</si>
  <si>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</si>
  <si>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</si>
  <si>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</si>
  <si>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</si>
  <si>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</si>
  <si>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</si>
  <si>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</si>
  <si>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</si>
  <si>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</si>
  <si>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</si>
  <si>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</si>
  <si>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</si>
  <si>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</si>
  <si>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</si>
  <si>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</si>
  <si>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</si>
  <si>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</si>
  <si>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</si>
  <si>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</si>
  <si>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</si>
  <si>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</si>
  <si>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</si>
  <si>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</si>
  <si>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</si>
  <si>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</si>
  <si>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</si>
  <si>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</si>
  <si>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</si>
  <si>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</si>
  <si>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</si>
  <si>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</si>
  <si>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</si>
  <si>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</si>
  <si>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</si>
  <si>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</si>
  <si>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</si>
  <si>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</si>
  <si>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</si>
  <si>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</si>
  <si>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</si>
  <si>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</si>
  <si>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</si>
  <si>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</si>
  <si>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</si>
  <si>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</si>
  <si>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</si>
  <si>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</si>
  <si>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</si>
  <si>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</si>
  <si>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</si>
  <si>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</si>
  <si>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</si>
  <si>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</si>
  <si>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</si>
  <si>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</si>
  <si>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</si>
  <si>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</si>
  <si>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</si>
  <si>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</si>
  <si>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</si>
  <si>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</si>
  <si>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</si>
  <si>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</si>
  <si>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</si>
  <si>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</si>
  <si>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</si>
  <si>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</si>
  <si>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</si>
  <si>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</si>
  <si>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</si>
  <si>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</si>
  <si>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</si>
  <si>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</si>
  <si>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</si>
  <si>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</si>
  <si>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</si>
  <si>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</si>
  <si>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</si>
  <si>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</si>
  <si>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</si>
  <si>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</si>
  <si>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</si>
  <si>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</si>
  <si>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</si>
  <si>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</si>
  <si>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</si>
  <si>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</si>
  <si>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</si>
  <si>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</si>
  <si>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</si>
  <si>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</si>
  <si>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</si>
  <si>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</si>
  <si>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</si>
  <si>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</si>
  <si>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</si>
  <si>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</si>
  <si>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</si>
  <si>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</si>
  <si>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</si>
  <si>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</si>
  <si>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</si>
  <si>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</si>
  <si>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</si>
  <si>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</si>
  <si>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</si>
  <si>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</si>
  <si>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</si>
  <si>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</si>
  <si>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</si>
  <si>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</si>
  <si>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</si>
  <si>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</si>
  <si>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</si>
  <si>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</si>
  <si>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</si>
  <si>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</si>
  <si>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</si>
  <si>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</si>
  <si>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</si>
  <si>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</si>
  <si>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</si>
  <si>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</si>
  <si>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</si>
  <si>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</si>
  <si>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</si>
  <si>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</si>
  <si>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</si>
  <si>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</si>
  <si>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</si>
  <si>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</si>
  <si>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</si>
  <si>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</si>
  <si>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</si>
  <si>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</si>
  <si>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</si>
  <si>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</si>
  <si>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</si>
  <si>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</si>
  <si>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</si>
  <si>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</si>
  <si>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</si>
  <si>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</si>
  <si>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</si>
  <si>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</si>
  <si>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</si>
  <si>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</si>
  <si>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</si>
  <si>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</si>
  <si>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</si>
  <si>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</si>
  <si>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</si>
  <si>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</si>
  <si>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</si>
  <si>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</si>
  <si>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</si>
  <si>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</si>
  <si>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</si>
  <si>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</si>
  <si>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</si>
  <si>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</si>
  <si>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</si>
  <si>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</si>
  <si>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</si>
  <si>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</si>
  <si>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</si>
  <si>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</si>
  <si>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</si>
  <si>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</si>
  <si>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</si>
  <si>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</si>
  <si>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</si>
  <si>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</si>
  <si>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</si>
  <si>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</si>
  <si>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</si>
  <si>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</si>
  <si>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</si>
  <si>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</si>
  <si>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</si>
  <si>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</si>
  <si>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</si>
  <si>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</si>
  <si>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</si>
  <si>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</si>
  <si>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</si>
  <si>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</si>
  <si>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</si>
  <si>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</si>
  <si>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</si>
  <si>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</si>
  <si>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</si>
  <si>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</si>
  <si>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</si>
  <si>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</si>
  <si>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</si>
  <si>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</si>
  <si>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</si>
  <si>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</si>
  <si>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</si>
  <si>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</si>
  <si>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</si>
  <si>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</si>
  <si>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</si>
  <si>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</si>
  <si>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</si>
  <si>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</si>
  <si>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</si>
  <si>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</si>
  <si>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</si>
  <si>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</si>
  <si>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</si>
  <si>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</si>
  <si>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</si>
  <si>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</si>
  <si>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</si>
  <si>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</si>
  <si>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</si>
  <si>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</si>
  <si>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</si>
  <si>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</si>
  <si>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</si>
  <si>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</si>
  <si>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</si>
  <si>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</si>
  <si>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</si>
  <si>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</si>
  <si>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</si>
  <si>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</si>
  <si>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</si>
  <si>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</si>
  <si>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</si>
  <si>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</si>
  <si>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</si>
  <si>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</si>
  <si>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</si>
  <si>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</si>
  <si>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</si>
  <si>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</si>
  <si>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</si>
  <si>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</si>
  <si>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</si>
  <si>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</si>
  <si>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</si>
  <si>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</si>
  <si>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</si>
  <si>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</si>
  <si>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</si>
  <si>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</si>
  <si>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</si>
  <si>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</si>
  <si>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</si>
  <si>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</si>
  <si>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</si>
  <si>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</si>
  <si>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</si>
  <si>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</si>
  <si>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</si>
  <si>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</si>
  <si>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</si>
  <si>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</si>
  <si>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</si>
  <si>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</si>
  <si>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</si>
  <si>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</si>
  <si>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</si>
  <si>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</si>
  <si>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</si>
  <si>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</si>
  <si>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</si>
  <si>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</si>
  <si>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</si>
  <si>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</si>
  <si>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</si>
  <si>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</si>
  <si>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</si>
  <si>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</si>
  <si>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</si>
  <si>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</si>
  <si>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</si>
  <si>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</si>
  <si>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</si>
  <si>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</si>
  <si>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</si>
  <si>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</si>
  <si>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</si>
  <si>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</si>
  <si>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</si>
  <si>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</si>
  <si>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</si>
  <si>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</si>
  <si>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</si>
  <si>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</si>
  <si>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</si>
  <si>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</si>
  <si>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</si>
  <si>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</si>
  <si>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</si>
  <si>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</si>
  <si>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</si>
  <si>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</si>
  <si>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</si>
  <si>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</si>
  <si>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</si>
  <si>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</si>
  <si>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</si>
  <si>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</si>
  <si>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</si>
  <si>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</si>
  <si>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</si>
  <si>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</si>
  <si>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</si>
  <si>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</si>
  <si>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</si>
  <si>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</si>
  <si>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</si>
  <si>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</si>
  <si>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</si>
  <si>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</si>
  <si>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</si>
  <si>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</si>
  <si>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</si>
  <si>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</si>
  <si>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</si>
  <si>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</si>
  <si>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</si>
  <si>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</si>
  <si>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</si>
  <si>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</si>
  <si>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</si>
  <si>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</si>
  <si>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</si>
  <si>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</si>
  <si>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</si>
  <si>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</si>
  <si>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</si>
  <si>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</si>
  <si>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</si>
  <si>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</si>
  <si>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</si>
  <si>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</si>
  <si>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</si>
  <si>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</si>
  <si>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</si>
  <si>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</si>
  <si>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</si>
  <si>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</si>
  <si>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</si>
  <si>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</si>
  <si>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</si>
  <si>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</si>
  <si>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</si>
  <si>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</si>
  <si>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</si>
  <si>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</si>
  <si>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</si>
  <si>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</si>
  <si>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</si>
  <si>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</si>
  <si>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</si>
  <si>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</si>
  <si>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</si>
  <si>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</si>
  <si>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</si>
  <si>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</si>
  <si>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</si>
  <si>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</si>
  <si>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</si>
  <si>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</si>
  <si>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</si>
  <si>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</si>
  <si>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</si>
  <si>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</si>
  <si>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</si>
  <si>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</si>
  <si>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</si>
  <si>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</si>
  <si>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</si>
  <si>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</si>
  <si>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</si>
  <si>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</si>
  <si>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</si>
  <si>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</si>
  <si>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</si>
  <si>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</si>
  <si>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</si>
  <si>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</si>
  <si>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</si>
  <si>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</si>
  <si>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</si>
  <si>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</si>
  <si>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</si>
  <si>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</si>
  <si>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</si>
  <si>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</si>
  <si>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</si>
  <si>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</si>
  <si>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</si>
  <si>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</si>
  <si>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</si>
  <si>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</si>
  <si>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</si>
  <si>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</si>
  <si>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</si>
  <si>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</si>
  <si>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</si>
  <si>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</si>
  <si>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</si>
  <si>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</si>
  <si>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</si>
  <si>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</si>
  <si>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</si>
  <si>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</si>
  <si>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</si>
  <si>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</si>
  <si>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</si>
  <si>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</si>
  <si>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</si>
  <si>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</si>
  <si>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</si>
  <si>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</si>
  <si>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</si>
  <si>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</si>
  <si>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</si>
  <si>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</si>
  <si>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</si>
  <si>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</si>
  <si>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</si>
  <si>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</si>
  <si>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</si>
  <si>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</si>
  <si>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</si>
  <si>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</si>
  <si>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</si>
  <si>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</si>
  <si>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</si>
  <si>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</si>
  <si>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</si>
  <si>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</si>
  <si>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</si>
  <si>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</si>
  <si>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</si>
  <si>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</si>
  <si>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</si>
  <si>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</si>
  <si>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</si>
  <si>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</si>
  <si>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</si>
  <si>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</si>
  <si>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</si>
  <si>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</si>
  <si>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</si>
  <si>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</si>
  <si>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</si>
  <si>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</si>
  <si>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</si>
  <si>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</si>
  <si>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</si>
  <si>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</si>
  <si>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</si>
  <si>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</si>
  <si>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</si>
  <si>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</si>
  <si>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</si>
  <si>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</si>
  <si>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</si>
  <si>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</si>
  <si>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</si>
  <si>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</si>
  <si>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</si>
  <si>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</si>
  <si>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</si>
  <si>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</si>
  <si>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</si>
  <si>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</si>
  <si>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</si>
  <si>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</si>
  <si>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</si>
  <si>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</si>
  <si>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</si>
  <si>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</si>
  <si>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</si>
  <si>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</si>
  <si>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</si>
  <si>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</si>
  <si>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</si>
  <si>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</si>
  <si>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</si>
  <si>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</si>
  <si>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</si>
  <si>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</si>
  <si>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</si>
  <si>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</si>
  <si>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</si>
  <si>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</si>
  <si>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</si>
  <si>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</si>
  <si>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</si>
  <si>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</si>
  <si>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</si>
  <si>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</si>
  <si>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</si>
  <si>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</si>
  <si>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</si>
  <si>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</si>
  <si>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</si>
  <si>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</si>
  <si>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</si>
  <si>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</si>
  <si>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</si>
  <si>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</si>
  <si>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</si>
  <si>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</si>
  <si>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</si>
  <si>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</si>
  <si>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</si>
  <si>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</si>
  <si>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</si>
  <si>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</si>
  <si>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</si>
  <si>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</si>
  <si>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</si>
  <si>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</si>
  <si>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</si>
  <si>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</si>
  <si>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</si>
  <si>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</si>
  <si>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</si>
  <si>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</si>
  <si>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</si>
  <si>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</si>
  <si>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</si>
  <si>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</si>
  <si>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</si>
  <si>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</si>
  <si>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</si>
  <si>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</si>
  <si>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</si>
  <si>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</si>
  <si>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</si>
  <si>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</si>
  <si>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</si>
  <si>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</si>
  <si>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</si>
  <si>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</si>
  <si>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</si>
  <si>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</si>
  <si>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</si>
  <si>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</si>
  <si>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</si>
  <si>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</si>
  <si>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</si>
  <si>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</si>
  <si>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</si>
  <si>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</si>
  <si>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</si>
  <si>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</si>
  <si>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</si>
  <si>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</si>
  <si>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</si>
  <si>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</si>
  <si>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</si>
  <si>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</si>
  <si>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</si>
  <si>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</si>
  <si>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</si>
  <si>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</si>
  <si>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</si>
  <si>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</si>
  <si>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</si>
  <si>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</si>
  <si>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</si>
  <si>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</si>
  <si>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</si>
  <si>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</si>
  <si>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</si>
  <si>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</si>
  <si>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</si>
  <si>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</si>
  <si>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</si>
  <si>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</si>
  <si>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</si>
  <si>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</si>
  <si>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</si>
  <si>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</si>
  <si>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</si>
  <si>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</si>
  <si>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</si>
  <si>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</si>
  <si>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</si>
  <si>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</si>
  <si>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</si>
  <si>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</si>
  <si>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</si>
  <si>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</si>
  <si>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</si>
  <si>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</si>
  <si>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</si>
  <si>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</si>
  <si>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</si>
  <si>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</si>
  <si>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</si>
  <si>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</si>
  <si>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</si>
  <si>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</si>
  <si>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</si>
  <si>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</si>
  <si>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</si>
  <si>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</si>
  <si>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</si>
  <si>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</si>
  <si>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</si>
  <si>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</si>
  <si>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</si>
  <si>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</si>
  <si>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</si>
  <si>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</si>
  <si>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</si>
  <si>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</si>
  <si>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</si>
  <si>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</si>
  <si>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</si>
  <si>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</si>
  <si>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</si>
  <si>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</si>
  <si>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</si>
  <si>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</si>
  <si>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</si>
  <si>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</si>
  <si>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</si>
  <si>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</si>
  <si>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</si>
  <si>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</si>
  <si>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</si>
  <si>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</si>
  <si>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</si>
  <si>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</si>
  <si>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</si>
  <si>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</si>
  <si>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</si>
  <si>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</si>
  <si>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</si>
  <si>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</si>
  <si>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</si>
  <si>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</si>
  <si>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</si>
  <si>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</si>
  <si>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</si>
  <si>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</si>
  <si>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</si>
  <si>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</si>
  <si>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</si>
  <si>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</si>
  <si>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</si>
  <si>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</si>
  <si>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</si>
  <si>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</si>
  <si>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</si>
  <si>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</si>
  <si>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</si>
  <si>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</si>
  <si>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</si>
  <si>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</si>
  <si>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</si>
  <si>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</si>
  <si>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</si>
  <si>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</si>
  <si>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</si>
  <si>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</si>
  <si>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</si>
  <si>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</si>
  <si>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</si>
  <si>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</si>
  <si>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</si>
  <si>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</si>
  <si>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</si>
  <si>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</si>
  <si>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</si>
  <si>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</si>
  <si>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</si>
  <si>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</si>
  <si>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</si>
  <si>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</si>
  <si>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</si>
  <si>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</si>
  <si>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</si>
  <si>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</si>
  <si>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</si>
  <si>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</si>
  <si>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</si>
  <si>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</si>
  <si>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</si>
  <si>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</si>
  <si>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</si>
  <si>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</si>
  <si>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</si>
  <si>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</si>
  <si>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</si>
  <si>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</si>
  <si>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</si>
  <si>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</si>
  <si>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</si>
  <si>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</si>
  <si>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</si>
  <si>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</si>
  <si>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</si>
  <si>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</si>
  <si>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</si>
  <si>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</si>
  <si>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</si>
  <si>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</si>
  <si>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</si>
  <si>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</si>
  <si>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</si>
  <si>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</si>
  <si>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</si>
  <si>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</si>
  <si>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</si>
  <si>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</si>
  <si>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</si>
  <si>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</si>
  <si>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</si>
  <si>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</si>
  <si>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</si>
  <si>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</si>
  <si>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</si>
  <si>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</si>
  <si>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</si>
  <si>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</si>
  <si>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</si>
  <si>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</si>
  <si>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</si>
  <si>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</si>
  <si>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</si>
  <si>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</si>
  <si>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</si>
  <si>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</si>
  <si>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</si>
  <si>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</si>
  <si>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</si>
  <si>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</si>
  <si>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</si>
  <si>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</si>
  <si>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</si>
  <si>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</si>
  <si>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</si>
  <si>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</si>
  <si>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</si>
  <si>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</si>
  <si>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</si>
  <si>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</si>
  <si>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</si>
  <si>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</si>
  <si>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</si>
  <si>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</si>
  <si>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</si>
  <si>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</si>
  <si>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</si>
  <si>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</si>
  <si>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</si>
  <si>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</si>
  <si>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</si>
  <si>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</si>
  <si>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</si>
  <si>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 xml:space="preserve">Values   for Display </t>
  </si>
  <si>
    <t>Qty</t>
  </si>
  <si>
    <t>Avg. Days</t>
  </si>
  <si>
    <t>for trends</t>
  </si>
  <si>
    <t>Row Labels</t>
  </si>
  <si>
    <t>Grand Total</t>
  </si>
  <si>
    <t>Column Labels</t>
  </si>
  <si>
    <t>Female</t>
  </si>
  <si>
    <t>Male</t>
  </si>
  <si>
    <t>Other</t>
  </si>
  <si>
    <t>Unknown</t>
  </si>
  <si>
    <t>Jan</t>
  </si>
  <si>
    <t>Feb</t>
  </si>
  <si>
    <t>Mar</t>
  </si>
  <si>
    <t>For matrix</t>
  </si>
  <si>
    <t>Order Oty Analysis</t>
  </si>
  <si>
    <t>More Than 10</t>
  </si>
  <si>
    <t>6 T0 10</t>
  </si>
  <si>
    <t>Map Chart stuff(Qty)</t>
  </si>
  <si>
    <t>Map Chart for Amount</t>
  </si>
  <si>
    <t>Customer satisfaction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</si>
</sst>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0" fontId="0" fillId="0" borderId="7" xfId="0" applyBorder="1"/>
    <xf numFmtId="165" fontId="0" fillId="0" borderId="8" xfId="0" applyNumberFormat="1" applyBorder="1"/>
    <xf numFmtId="165" fontId="0" fillId="0" borderId="9" xfId="0" applyNumberFormat="1" applyBorder="1"/>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A1FC9A"/>
      <color rgb="FF04D604"/>
      <color rgb="FF729472"/>
      <color rgb="FF03AD03"/>
      <color rgb="FF61AD59"/>
      <color rgb="FFCAD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effectLst/>
              </a:rPr>
              <a:t>Last 13 week Trends - Qty &amp; Amount </a:t>
            </a:r>
            <a:endParaRPr lang="en-IN" b="1">
              <a:solidFill>
                <a:sysClr val="windowText" lastClr="000000"/>
              </a:solidFill>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04C-4E2D-A0D3-E8DEDA0FBE33}"/>
            </c:ext>
          </c:extLst>
        </c:ser>
        <c:dLbls>
          <c:showLegendKey val="0"/>
          <c:showVal val="0"/>
          <c:showCatName val="0"/>
          <c:showSerName val="0"/>
          <c:showPercent val="0"/>
          <c:showBubbleSize val="0"/>
        </c:dLbls>
        <c:marker val="1"/>
        <c:smooth val="0"/>
        <c:axId val="909942992"/>
        <c:axId val="909941072"/>
      </c:lineChart>
      <c:lineChart>
        <c:grouping val="standard"/>
        <c:varyColors val="0"/>
        <c:ser>
          <c:idx val="1"/>
          <c:order val="1"/>
          <c:tx>
            <c:strRef>
              <c:f>Pivots!$C$11</c:f>
              <c:strCache>
                <c:ptCount val="1"/>
                <c:pt idx="0">
                  <c:v>Sum of Amount</c:v>
                </c:pt>
              </c:strCache>
            </c:strRef>
          </c:tx>
          <c:spPr>
            <a:ln w="28575" cap="rnd">
              <a:solidFill>
                <a:schemeClr val="accent5"/>
              </a:solidFill>
              <a:round/>
            </a:ln>
            <a:effectLst/>
          </c:spPr>
          <c:marker>
            <c:symbol val="none"/>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04C-4E2D-A0D3-E8DEDA0FBE33}"/>
            </c:ext>
          </c:extLst>
        </c:ser>
        <c:dLbls>
          <c:showLegendKey val="0"/>
          <c:showVal val="0"/>
          <c:showCatName val="0"/>
          <c:showSerName val="0"/>
          <c:showPercent val="0"/>
          <c:showBubbleSize val="0"/>
        </c:dLbls>
        <c:marker val="1"/>
        <c:smooth val="0"/>
        <c:axId val="992029872"/>
        <c:axId val="992029392"/>
      </c:lineChart>
      <c:catAx>
        <c:axId val="90994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41072"/>
        <c:crosses val="autoZero"/>
        <c:auto val="1"/>
        <c:lblAlgn val="ctr"/>
        <c:lblOffset val="100"/>
        <c:noMultiLvlLbl val="0"/>
      </c:catAx>
      <c:valAx>
        <c:axId val="90994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42992"/>
        <c:crosses val="autoZero"/>
        <c:crossBetween val="between"/>
      </c:valAx>
      <c:valAx>
        <c:axId val="992029392"/>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29872"/>
        <c:crosses val="max"/>
        <c:crossBetween val="between"/>
      </c:valAx>
      <c:catAx>
        <c:axId val="992029872"/>
        <c:scaling>
          <c:orientation val="minMax"/>
        </c:scaling>
        <c:delete val="1"/>
        <c:axPos val="b"/>
        <c:numFmt formatCode="General" sourceLinked="1"/>
        <c:majorTickMark val="out"/>
        <c:minorTickMark val="none"/>
        <c:tickLblPos val="nextTo"/>
        <c:crossAx val="99202939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[ecommerce-blank.xlsx]Quantity Distribution!pvtQuantity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How</a:t>
            </a:r>
            <a:r>
              <a:rPr lang="en-US" b="1" baseline="0">
                <a:solidFill>
                  <a:sysClr val="windowText" lastClr="000000"/>
                </a:solidFill>
              </a:rPr>
              <a:t> many they buy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Distribution'!$B$3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Distribution'!$A$4:$A$11</c:f>
              <c:strCache>
                <c:ptCount val="7"/>
                <c:pt idx="0">
                  <c:v>1</c:v>
                </c:pt>
                <c:pt idx="1">
                  <c:v>2</c:v>
                </c:pt>
                <c:pt idx="2">
                  <c:v>3</c:v>
                </c:pt>
                <c:pt idx="3">
                  <c:v>4</c:v>
                </c:pt>
                <c:pt idx="4">
                  <c:v>5</c:v>
                </c:pt>
                <c:pt idx="5">
                  <c:v>6 T0 10</c:v>
                </c:pt>
                <c:pt idx="6">
                  <c:v>More Than 10</c:v>
                </c:pt>
              </c:strCache>
            </c:strRef>
          </c:cat>
          <c:val>
            <c:numRef>
              <c:f>'Quantity Distribution'!$B$4:$B$11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C57-4740-B7E1-3328481EFD3B}"/>
            </c:ext>
          </c:extLst>
        </c:ser>
        <c:dLbls>
          <c:dLblPos val="outEnd"/>
          <c:showLegendKey val="0"/>
          <c:showVal val="1"/>
          <c:showCatName val="0"/>
          <c:showSerName val="0"/>
          <c:showPercent val="0"/>
          <c:showBubbleSize val="0"/>
        </c:dLbls>
        <c:gapWidth val="50"/>
        <c:overlap val="-27"/>
        <c:axId val="909932912"/>
        <c:axId val="909933872"/>
      </c:barChart>
      <c:catAx>
        <c:axId val="90993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33872"/>
        <c:crosses val="autoZero"/>
        <c:auto val="1"/>
        <c:lblAlgn val="ctr"/>
        <c:lblOffset val="100"/>
        <c:noMultiLvlLbl val="0"/>
      </c:catAx>
      <c:valAx>
        <c:axId val="90993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3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[ecommerce-blank.xlsx]Popular Products!pvtProPopu</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sz="1400" b="1" i="0" u="none" strike="noStrike" baseline="0">
                <a:solidFill>
                  <a:sysClr val="windowText" lastClr="000000"/>
                </a:solidFill>
                <a:effectLst/>
              </a:rPr>
              <a:t>Which product is popular? Breakdown by Gender </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 Products'!$B$3:$B$4</c:f>
              <c:strCache>
                <c:ptCount val="1"/>
                <c:pt idx="0">
                  <c:v>Female</c:v>
                </c:pt>
              </c:strCache>
            </c:strRef>
          </c:tx>
          <c:spPr>
            <a:solidFill>
              <a:schemeClr val="accent6"/>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BCA1-4D6D-B7FE-A0ACABFE94BE}"/>
            </c:ext>
          </c:extLst>
        </c:ser>
        <c:ser>
          <c:idx val="1"/>
          <c:order val="1"/>
          <c:tx>
            <c:strRef>
              <c:f>'Popular Products'!$C$3:$C$4</c:f>
              <c:strCache>
                <c:ptCount val="1"/>
                <c:pt idx="0">
                  <c:v>Male</c:v>
                </c:pt>
              </c:strCache>
            </c:strRef>
          </c:tx>
          <c:spPr>
            <a:solidFill>
              <a:schemeClr val="accent5"/>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BCA1-4D6D-B7FE-A0ACABFE94BE}"/>
            </c:ext>
          </c:extLst>
        </c:ser>
        <c:ser>
          <c:idx val="2"/>
          <c:order val="2"/>
          <c:tx>
            <c:strRef>
              <c:f>'Popular Products'!$D$3:$D$4</c:f>
              <c:strCache>
                <c:ptCount val="1"/>
                <c:pt idx="0">
                  <c:v>Other</c:v>
                </c:pt>
              </c:strCache>
            </c:strRef>
          </c:tx>
          <c:spPr>
            <a:solidFill>
              <a:schemeClr val="accent4"/>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BCA1-4D6D-B7FE-A0ACABFE94BE}"/>
            </c:ext>
          </c:extLst>
        </c:ser>
        <c:ser>
          <c:idx val="3"/>
          <c:order val="3"/>
          <c:tx>
            <c:strRef>
              <c:f>'Popular Products'!$E$3:$E$4</c:f>
              <c:strCache>
                <c:ptCount val="1"/>
                <c:pt idx="0">
                  <c:v>Unknown</c:v>
                </c:pt>
              </c:strCache>
            </c:strRef>
          </c:tx>
          <c:spPr>
            <a:solidFill>
              <a:schemeClr val="accent6">
                <a:lumMod val="60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BCA1-4D6D-B7FE-A0ACABFE94BE}"/>
            </c:ext>
          </c:extLst>
        </c:ser>
        <c:dLbls>
          <c:dLblPos val="ctr"/>
          <c:showLegendKey val="0"/>
          <c:showVal val="0"/>
          <c:showCatName val="0"/>
          <c:showSerName val="0"/>
          <c:showPercent val="0"/>
          <c:showBubbleSize val="0"/>
        </c:dLbls>
        <c:gapWidth val="50"/>
        <c:overlap val="100"/>
        <c:axId val="1152714656"/>
        <c:axId val="1152718496"/>
      </c:barChart>
      <c:catAx>
        <c:axId val="1152714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18496"/>
        <c:crosses val="autoZero"/>
        <c:auto val="1"/>
        <c:lblAlgn val="ctr"/>
        <c:lblOffset val="100"/>
        <c:noMultiLvlLbl val="0"/>
      </c:catAx>
      <c:valAx>
        <c:axId val="115271849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1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[ecommerce-blank.xlsx]Popular Products!ptvGender</c:name>
    <c:fmtId val="17"/>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dLbl>
          <c:idx val="0"/>
          <c:layout>
            <c:manualLayout>
              <c:x val="3.3963042926085853E-2"/>
              <c:y val="0.221943448609501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95377190754378"/>
                  <c:h val="0.1726694754627473"/>
                </c:manualLayout>
              </c15:layout>
            </c:ext>
          </c:extLst>
        </c:dLbl>
      </c:pivotFmt>
      <c:pivotFmt>
        <c:idx val="2"/>
        <c:spPr>
          <a:solidFill>
            <a:schemeClr val="accent5"/>
          </a:solidFill>
          <a:ln w="19050">
            <a:solidFill>
              <a:schemeClr val="lt1"/>
            </a:solidFill>
          </a:ln>
          <a:effectLst/>
        </c:spPr>
        <c:dLbl>
          <c:idx val="0"/>
          <c:layout>
            <c:manualLayout>
              <c:x val="-6.6069977139954328E-2"/>
              <c:y val="0.206386761833587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69565217391304"/>
                  <c:h val="0.19085948158253752"/>
                </c:manualLayout>
              </c15:layout>
            </c:ext>
          </c:extLst>
        </c:dLbl>
      </c:pivotFmt>
      <c:pivotFmt>
        <c:idx val="3"/>
        <c:spPr>
          <a:solidFill>
            <a:schemeClr val="accent6">
              <a:lumMod val="60000"/>
            </a:schemeClr>
          </a:solidFill>
          <a:ln w="19050">
            <a:solidFill>
              <a:schemeClr val="lt1"/>
            </a:solidFill>
          </a:ln>
          <a:effectLst/>
        </c:spPr>
        <c:dLbl>
          <c:idx val="0"/>
          <c:layout>
            <c:manualLayout>
              <c:x val="0.19525357717382102"/>
              <c:y val="-0.142909053493485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E00B0B-1091-406E-8025-A82D25044A17}"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a:t>, </a:t>
                </a:r>
                <a:fld id="{DB697E4A-14B8-4CDB-92F8-4FC4E28476CB}"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A10BFBC-4D6E-4989-8E6E-F5EAFE7D2676}"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199559732452798"/>
                  <c:h val="0.18631199298162004"/>
                </c:manualLayout>
              </c15:layout>
              <c15:dlblFieldTable/>
              <c15:showDataLabelsRange val="0"/>
            </c:ext>
          </c:extLst>
        </c:dLbl>
      </c:pivotFmt>
      <c:pivotFmt>
        <c:idx val="4"/>
        <c:spPr>
          <a:solidFill>
            <a:schemeClr val="accent4"/>
          </a:solidFill>
          <a:ln w="19050">
            <a:solidFill>
              <a:schemeClr val="lt1"/>
            </a:solidFill>
          </a:ln>
          <a:effectLst/>
        </c:spPr>
        <c:dLbl>
          <c:idx val="0"/>
          <c:layout>
            <c:manualLayout>
              <c:x val="-0.13221530776394885"/>
              <c:y val="-0.136275709690346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438574210481754"/>
                  <c:h val="0.22723954553823825"/>
                </c:manualLayout>
              </c15:layout>
            </c:ext>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3.3963042926085853E-2"/>
              <c:y val="0.221943448609501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95377190754378"/>
                  <c:h val="0.1726694754627473"/>
                </c:manualLayout>
              </c15:layout>
            </c:ext>
          </c:extLst>
        </c:dLbl>
      </c:pivotFmt>
      <c:pivotFmt>
        <c:idx val="7"/>
        <c:spPr>
          <a:solidFill>
            <a:schemeClr val="accent6"/>
          </a:solidFill>
          <a:ln w="19050">
            <a:solidFill>
              <a:schemeClr val="lt1"/>
            </a:solidFill>
          </a:ln>
          <a:effectLst/>
        </c:spPr>
        <c:dLbl>
          <c:idx val="0"/>
          <c:layout>
            <c:manualLayout>
              <c:x val="-6.6069977139954328E-2"/>
              <c:y val="0.206386761833587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69565217391304"/>
                  <c:h val="0.19085948158253752"/>
                </c:manualLayout>
              </c15:layout>
            </c:ext>
          </c:extLst>
        </c:dLbl>
      </c:pivotFmt>
      <c:pivotFmt>
        <c:idx val="8"/>
        <c:spPr>
          <a:solidFill>
            <a:schemeClr val="accent6"/>
          </a:solidFill>
          <a:ln w="19050">
            <a:solidFill>
              <a:schemeClr val="lt1"/>
            </a:solidFill>
          </a:ln>
          <a:effectLst/>
        </c:spPr>
        <c:dLbl>
          <c:idx val="0"/>
          <c:layout>
            <c:manualLayout>
              <c:x val="-0.13221530776394885"/>
              <c:y val="-0.136275709690346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438574210481754"/>
                  <c:h val="0.22723954553823825"/>
                </c:manualLayout>
              </c15:layout>
            </c:ext>
          </c:extLst>
        </c:dLbl>
      </c:pivotFmt>
      <c:pivotFmt>
        <c:idx val="9"/>
        <c:spPr>
          <a:solidFill>
            <a:schemeClr val="accent6"/>
          </a:solidFill>
          <a:ln w="19050">
            <a:solidFill>
              <a:schemeClr val="lt1"/>
            </a:solidFill>
          </a:ln>
          <a:effectLst/>
        </c:spPr>
        <c:dLbl>
          <c:idx val="0"/>
          <c:layout>
            <c:manualLayout>
              <c:x val="0.19525357717382102"/>
              <c:y val="-0.142909053493485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E00B0B-1091-406E-8025-A82D25044A17}"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a:t>, </a:t>
                </a:r>
                <a:fld id="{DB697E4A-14B8-4CDB-92F8-4FC4E28476CB}"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A10BFBC-4D6E-4989-8E6E-F5EAFE7D2676}"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199559732452798"/>
                  <c:h val="0.18631199298162004"/>
                </c:manualLayout>
              </c15:layout>
              <c15:dlblFieldTable/>
              <c15:showDataLabelsRange val="0"/>
            </c:ext>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3.3963042926085853E-2"/>
              <c:y val="0.221943448609501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95377190754378"/>
                  <c:h val="0.1726694754627473"/>
                </c:manualLayout>
              </c15:layout>
            </c:ext>
          </c:extLst>
        </c:dLbl>
      </c:pivotFmt>
      <c:pivotFmt>
        <c:idx val="12"/>
        <c:spPr>
          <a:solidFill>
            <a:schemeClr val="accent6"/>
          </a:solidFill>
          <a:ln w="19050">
            <a:solidFill>
              <a:schemeClr val="lt1"/>
            </a:solidFill>
          </a:ln>
          <a:effectLst/>
        </c:spPr>
        <c:dLbl>
          <c:idx val="0"/>
          <c:layout>
            <c:manualLayout>
              <c:x val="-6.6069977139954328E-2"/>
              <c:y val="0.206386761833587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69565217391304"/>
                  <c:h val="0.19085948158253752"/>
                </c:manualLayout>
              </c15:layout>
            </c:ext>
          </c:extLst>
        </c:dLbl>
      </c:pivotFmt>
      <c:pivotFmt>
        <c:idx val="13"/>
        <c:spPr>
          <a:solidFill>
            <a:schemeClr val="accent6"/>
          </a:solidFill>
          <a:ln w="19050">
            <a:solidFill>
              <a:schemeClr val="lt1"/>
            </a:solidFill>
          </a:ln>
          <a:effectLst/>
        </c:spPr>
        <c:dLbl>
          <c:idx val="0"/>
          <c:layout>
            <c:manualLayout>
              <c:x val="-0.13221530776394885"/>
              <c:y val="-0.136275709690346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438574210481754"/>
                  <c:h val="0.22723954553823825"/>
                </c:manualLayout>
              </c15:layout>
            </c:ext>
          </c:extLst>
        </c:dLbl>
      </c:pivotFmt>
      <c:pivotFmt>
        <c:idx val="14"/>
        <c:spPr>
          <a:solidFill>
            <a:schemeClr val="accent6"/>
          </a:solidFill>
          <a:ln w="19050">
            <a:solidFill>
              <a:schemeClr val="lt1"/>
            </a:solidFill>
          </a:ln>
          <a:effectLst/>
        </c:spPr>
        <c:dLbl>
          <c:idx val="0"/>
          <c:layout>
            <c:manualLayout>
              <c:x val="0.19525357717382102"/>
              <c:y val="-0.142909053493485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E00B0B-1091-406E-8025-A82D25044A17}" type="CATEGORYNAME">
                  <a:rPr lang="en-US"/>
                  <a:pPr>
                    <a:defRPr/>
                  </a:pPr>
                  <a:t>[CATEGORY NAME]</a:t>
                </a:fld>
                <a:r>
                  <a:rPr lang="en-US"/>
                  <a:t>, </a:t>
                </a:r>
                <a:fld id="{DB697E4A-14B8-4CDB-92F8-4FC4E28476CB}" type="VALUE">
                  <a:rPr lang="en-US" baseline="0"/>
                  <a:pPr>
                    <a:defRPr/>
                  </a:pPr>
                  <a:t>[VALUE]</a:t>
                </a:fld>
                <a:r>
                  <a:rPr lang="en-US" baseline="0"/>
                  <a:t>,</a:t>
                </a:r>
              </a:p>
              <a:p>
                <a:pPr>
                  <a:defRPr/>
                </a:pPr>
                <a:r>
                  <a:rPr lang="en-US" baseline="0"/>
                  <a:t> </a:t>
                </a:r>
                <a:fld id="{DA10BFBC-4D6E-4989-8E6E-F5EAFE7D267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199559732452798"/>
                  <c:h val="0.18631199298162004"/>
                </c:manualLayout>
              </c15:layout>
              <c15:dlblFieldTable/>
              <c15:showDataLabelsRange val="0"/>
            </c:ext>
          </c:extLst>
        </c:dLbl>
      </c:pivotFmt>
    </c:pivotFmts>
    <c:plotArea>
      <c:layout>
        <c:manualLayout>
          <c:layoutTarget val="inner"/>
          <c:xMode val="edge"/>
          <c:yMode val="edge"/>
          <c:x val="0.31251545169757006"/>
          <c:y val="0.34163119568788425"/>
          <c:w val="0.37524426382186093"/>
          <c:h val="0.32001574081094053"/>
        </c:manualLayout>
      </c:layout>
      <c:doughnutChart>
        <c:varyColors val="1"/>
        <c:ser>
          <c:idx val="0"/>
          <c:order val="0"/>
          <c:tx>
            <c:strRef>
              <c:f>'Popular Products'!$Q$3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83F-4CDF-BBA3-BBB078D2FD8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83F-4CDF-BBA3-BBB078D2FD8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83F-4CDF-BBA3-BBB078D2FD8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83F-4CDF-BBA3-BBB078D2FD8F}"/>
              </c:ext>
            </c:extLst>
          </c:dPt>
          <c:dLbls>
            <c:dLbl>
              <c:idx val="0"/>
              <c:layout>
                <c:manualLayout>
                  <c:x val="3.3963042926085853E-2"/>
                  <c:y val="0.221943448609501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95377190754378"/>
                      <c:h val="0.1726694754627473"/>
                    </c:manualLayout>
                  </c15:layout>
                </c:ext>
                <c:ext xmlns:c16="http://schemas.microsoft.com/office/drawing/2014/chart" uri="{C3380CC4-5D6E-409C-BE32-E72D297353CC}">
                  <c16:uniqueId val="{00000001-383F-4CDF-BBA3-BBB078D2FD8F}"/>
                </c:ext>
              </c:extLst>
            </c:dLbl>
            <c:dLbl>
              <c:idx val="1"/>
              <c:layout>
                <c:manualLayout>
                  <c:x val="-6.6069977139954328E-2"/>
                  <c:y val="0.206386761833587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69565217391304"/>
                      <c:h val="0.19085948158253752"/>
                    </c:manualLayout>
                  </c15:layout>
                </c:ext>
                <c:ext xmlns:c16="http://schemas.microsoft.com/office/drawing/2014/chart" uri="{C3380CC4-5D6E-409C-BE32-E72D297353CC}">
                  <c16:uniqueId val="{00000003-383F-4CDF-BBA3-BBB078D2FD8F}"/>
                </c:ext>
              </c:extLst>
            </c:dLbl>
            <c:dLbl>
              <c:idx val="2"/>
              <c:layout>
                <c:manualLayout>
                  <c:x val="-0.13221530776394885"/>
                  <c:y val="-0.136275709690346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438574210481754"/>
                      <c:h val="0.22723954553823825"/>
                    </c:manualLayout>
                  </c15:layout>
                </c:ext>
                <c:ext xmlns:c16="http://schemas.microsoft.com/office/drawing/2014/chart" uri="{C3380CC4-5D6E-409C-BE32-E72D297353CC}">
                  <c16:uniqueId val="{00000005-383F-4CDF-BBA3-BBB078D2FD8F}"/>
                </c:ext>
              </c:extLst>
            </c:dLbl>
            <c:dLbl>
              <c:idx val="3"/>
              <c:layout>
                <c:manualLayout>
                  <c:x val="0.19525357717382102"/>
                  <c:y val="-0.142909053493485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E00B0B-1091-406E-8025-A82D25044A17}" type="CATEGORYNAME">
                      <a:rPr lang="en-US"/>
                      <a:pPr>
                        <a:defRPr/>
                      </a:pPr>
                      <a:t>[CATEGORY NAME]</a:t>
                    </a:fld>
                    <a:r>
                      <a:rPr lang="en-US"/>
                      <a:t>, </a:t>
                    </a:r>
                    <a:fld id="{DB697E4A-14B8-4CDB-92F8-4FC4E28476CB}" type="VALUE">
                      <a:rPr lang="en-US" baseline="0"/>
                      <a:pPr>
                        <a:defRPr/>
                      </a:pPr>
                      <a:t>[VALUE]</a:t>
                    </a:fld>
                    <a:r>
                      <a:rPr lang="en-US" baseline="0"/>
                      <a:t>,</a:t>
                    </a:r>
                  </a:p>
                  <a:p>
                    <a:pPr>
                      <a:defRPr/>
                    </a:pPr>
                    <a:r>
                      <a:rPr lang="en-US" baseline="0"/>
                      <a:t> </a:t>
                    </a:r>
                    <a:fld id="{DA10BFBC-4D6E-4989-8E6E-F5EAFE7D267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199559732452798"/>
                      <c:h val="0.18631199298162004"/>
                    </c:manualLayout>
                  </c15:layout>
                  <c15:dlblFieldTable/>
                  <c15:showDataLabelsRange val="0"/>
                </c:ext>
                <c:ext xmlns:c16="http://schemas.microsoft.com/office/drawing/2014/chart" uri="{C3380CC4-5D6E-409C-BE32-E72D297353CC}">
                  <c16:uniqueId val="{00000007-383F-4CDF-BBA3-BBB078D2FD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Products'!$P$4:$P$8</c:f>
              <c:strCache>
                <c:ptCount val="4"/>
                <c:pt idx="0">
                  <c:v>Female</c:v>
                </c:pt>
                <c:pt idx="1">
                  <c:v>Male</c:v>
                </c:pt>
                <c:pt idx="2">
                  <c:v>Other</c:v>
                </c:pt>
                <c:pt idx="3">
                  <c:v>Unknown</c:v>
                </c:pt>
              </c:strCache>
            </c:strRef>
          </c:cat>
          <c:val>
            <c:numRef>
              <c:f>'Popular Products'!$Q$4:$Q$8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83F-4CDF-BBA3-BBB078D2FD8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[ecommerce-blank.xlsx]Ship Order!pvtDuration</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How</a:t>
            </a:r>
            <a:r>
              <a:rPr lang="en-US" b="1" baseline="0">
                <a:solidFill>
                  <a:sysClr val="windowText" lastClr="000000"/>
                </a:solidFill>
              </a:rPr>
              <a:t> long we take to ship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Order'!$B$3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 Order'!$B$4:$B$19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3AB-4131-97EA-606DF375CDBB}"/>
            </c:ext>
          </c:extLst>
        </c:ser>
        <c:dLbls>
          <c:dLblPos val="outEnd"/>
          <c:showLegendKey val="0"/>
          <c:showVal val="1"/>
          <c:showCatName val="0"/>
          <c:showSerName val="0"/>
          <c:showPercent val="0"/>
          <c:showBubbleSize val="0"/>
        </c:dLbls>
        <c:gapWidth val="30"/>
        <c:overlap val="-27"/>
        <c:axId val="1237082240"/>
        <c:axId val="1237084640"/>
      </c:barChart>
      <c:catAx>
        <c:axId val="123708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84640"/>
        <c:crosses val="autoZero"/>
        <c:auto val="1"/>
        <c:lblAlgn val="ctr"/>
        <c:lblOffset val="100"/>
        <c:noMultiLvlLbl val="0"/>
      </c:catAx>
      <c:valAx>
        <c:axId val="12370846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8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[ecommerce-blank.xlsx]Ship Order!pvtRating</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How</a:t>
            </a:r>
            <a:r>
              <a:rPr lang="en-IN" b="1" baseline="0">
                <a:solidFill>
                  <a:sysClr val="windowText" lastClr="000000"/>
                </a:solidFill>
              </a:rPr>
              <a:t> satisfied are our customers ?</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Order'!$B$24:$B$25</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Order'!$B$26:$B$29</c:f>
              <c:numCache>
                <c:formatCode>General</c:formatCode>
                <c:ptCount val="3"/>
                <c:pt idx="0">
                  <c:v>7</c:v>
                </c:pt>
                <c:pt idx="1">
                  <c:v>8</c:v>
                </c:pt>
                <c:pt idx="2">
                  <c:v>6</c:v>
                </c:pt>
              </c:numCache>
            </c:numRef>
          </c:val>
          <c:extLst>
            <c:ext xmlns:c16="http://schemas.microsoft.com/office/drawing/2014/chart" uri="{C3380CC4-5D6E-409C-BE32-E72D297353CC}">
              <c16:uniqueId val="{00000000-518D-4E34-ADB1-CD3765865DC9}"/>
            </c:ext>
          </c:extLst>
        </c:ser>
        <c:ser>
          <c:idx val="1"/>
          <c:order val="1"/>
          <c:tx>
            <c:strRef>
              <c:f>'Ship Order'!$C$24:$C$25</c:f>
              <c:strCache>
                <c:ptCount val="1"/>
                <c:pt idx="0">
                  <c:v>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Order'!$C$26:$C$29</c:f>
              <c:numCache>
                <c:formatCode>General</c:formatCode>
                <c:ptCount val="3"/>
                <c:pt idx="0">
                  <c:v>37</c:v>
                </c:pt>
                <c:pt idx="1">
                  <c:v>51</c:v>
                </c:pt>
                <c:pt idx="2">
                  <c:v>39</c:v>
                </c:pt>
              </c:numCache>
            </c:numRef>
          </c:val>
          <c:extLst>
            <c:ext xmlns:c16="http://schemas.microsoft.com/office/drawing/2014/chart" uri="{C3380CC4-5D6E-409C-BE32-E72D297353CC}">
              <c16:uniqueId val="{00000001-518D-4E34-ADB1-CD3765865DC9}"/>
            </c:ext>
          </c:extLst>
        </c:ser>
        <c:ser>
          <c:idx val="2"/>
          <c:order val="2"/>
          <c:tx>
            <c:strRef>
              <c:f>'Ship Order'!$D$24:$D$25</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Order'!$D$26:$D$29</c:f>
              <c:numCache>
                <c:formatCode>General</c:formatCode>
                <c:ptCount val="3"/>
                <c:pt idx="0">
                  <c:v>150</c:v>
                </c:pt>
                <c:pt idx="1">
                  <c:v>182</c:v>
                </c:pt>
                <c:pt idx="2">
                  <c:v>163</c:v>
                </c:pt>
              </c:numCache>
            </c:numRef>
          </c:val>
          <c:extLst>
            <c:ext xmlns:c16="http://schemas.microsoft.com/office/drawing/2014/chart" uri="{C3380CC4-5D6E-409C-BE32-E72D297353CC}">
              <c16:uniqueId val="{00000002-518D-4E34-ADB1-CD3765865DC9}"/>
            </c:ext>
          </c:extLst>
        </c:ser>
        <c:ser>
          <c:idx val="3"/>
          <c:order val="3"/>
          <c:tx>
            <c:strRef>
              <c:f>'Ship Order'!$E$24:$E$25</c:f>
              <c:strCache>
                <c:ptCount val="1"/>
                <c:pt idx="0">
                  <c:v>4</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Order'!$E$26:$E$29</c:f>
              <c:numCache>
                <c:formatCode>General</c:formatCode>
                <c:ptCount val="3"/>
                <c:pt idx="0">
                  <c:v>312</c:v>
                </c:pt>
                <c:pt idx="1">
                  <c:v>373</c:v>
                </c:pt>
                <c:pt idx="2">
                  <c:v>351</c:v>
                </c:pt>
              </c:numCache>
            </c:numRef>
          </c:val>
          <c:extLst>
            <c:ext xmlns:c16="http://schemas.microsoft.com/office/drawing/2014/chart" uri="{C3380CC4-5D6E-409C-BE32-E72D297353CC}">
              <c16:uniqueId val="{00000006-518D-4E34-ADB1-CD3765865DC9}"/>
            </c:ext>
          </c:extLst>
        </c:ser>
        <c:ser>
          <c:idx val="4"/>
          <c:order val="4"/>
          <c:tx>
            <c:strRef>
              <c:f>'Ship Order'!$F$24:$F$25</c:f>
              <c:strCache>
                <c:ptCount val="1"/>
                <c:pt idx="0">
                  <c:v>5</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Order'!$F$26:$F$29</c:f>
              <c:numCache>
                <c:formatCode>General</c:formatCode>
                <c:ptCount val="3"/>
                <c:pt idx="0">
                  <c:v>224</c:v>
                </c:pt>
                <c:pt idx="1">
                  <c:v>247</c:v>
                </c:pt>
                <c:pt idx="2">
                  <c:v>250</c:v>
                </c:pt>
              </c:numCache>
            </c:numRef>
          </c:val>
          <c:extLst>
            <c:ext xmlns:c16="http://schemas.microsoft.com/office/drawing/2014/chart" uri="{C3380CC4-5D6E-409C-BE32-E72D297353CC}">
              <c16:uniqueId val="{00000008-518D-4E34-ADB1-CD3765865DC9}"/>
            </c:ext>
          </c:extLst>
        </c:ser>
        <c:dLbls>
          <c:dLblPos val="outEnd"/>
          <c:showLegendKey val="0"/>
          <c:showVal val="1"/>
          <c:showCatName val="0"/>
          <c:showSerName val="0"/>
          <c:showPercent val="0"/>
          <c:showBubbleSize val="0"/>
        </c:dLbls>
        <c:gapWidth val="50"/>
        <c:overlap val="-27"/>
        <c:axId val="967279232"/>
        <c:axId val="967281152"/>
      </c:barChart>
      <c:catAx>
        <c:axId val="9672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81152"/>
        <c:crosses val="autoZero"/>
        <c:auto val="1"/>
        <c:lblAlgn val="ctr"/>
        <c:lblOffset val="100"/>
        <c:noMultiLvlLbl val="0"/>
      </c:catAx>
      <c:valAx>
        <c:axId val="96728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[ecommerce-blank.xlsx]Quantity Distribution!pvtQuantity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Distribution'!$B$3</c:f>
              <c:strCache>
                <c:ptCount val="1"/>
                <c:pt idx="0">
                  <c:v>Total</c:v>
                </c:pt>
              </c:strCache>
            </c:strRef>
          </c:tx>
          <c:spPr>
            <a:solidFill>
              <a:schemeClr val="accent6"/>
            </a:solidFill>
            <a:ln>
              <a:noFill/>
            </a:ln>
            <a:effectLst/>
          </c:spPr>
          <c:invertIfNegative val="0"/>
          <c:cat>
            <c:strRef>
              <c:f>'Quantity Distribution'!$A$4:$A$11</c:f>
              <c:strCache>
                <c:ptCount val="7"/>
                <c:pt idx="0">
                  <c:v>1</c:v>
                </c:pt>
                <c:pt idx="1">
                  <c:v>2</c:v>
                </c:pt>
                <c:pt idx="2">
                  <c:v>3</c:v>
                </c:pt>
                <c:pt idx="3">
                  <c:v>4</c:v>
                </c:pt>
                <c:pt idx="4">
                  <c:v>5</c:v>
                </c:pt>
                <c:pt idx="5">
                  <c:v>6 T0 10</c:v>
                </c:pt>
                <c:pt idx="6">
                  <c:v>More Than 10</c:v>
                </c:pt>
              </c:strCache>
            </c:strRef>
          </c:cat>
          <c:val>
            <c:numRef>
              <c:f>'Quantity Distribution'!$B$4:$B$11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2E4-4551-9886-C4F1313DDD34}"/>
            </c:ext>
          </c:extLst>
        </c:ser>
        <c:dLbls>
          <c:showLegendKey val="0"/>
          <c:showVal val="0"/>
          <c:showCatName val="0"/>
          <c:showSerName val="0"/>
          <c:showPercent val="0"/>
          <c:showBubbleSize val="0"/>
        </c:dLbls>
        <c:gapWidth val="219"/>
        <c:overlap val="-27"/>
        <c:axId val="909932912"/>
        <c:axId val="909933872"/>
      </c:barChart>
      <c:catAx>
        <c:axId val="90993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33872"/>
        <c:crosses val="autoZero"/>
        <c:auto val="1"/>
        <c:lblAlgn val="ctr"/>
        <c:lblOffset val="100"/>
        <c:noMultiLvlLbl val="0"/>
      </c:catAx>
      <c:valAx>
        <c:axId val="90993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3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[ecommerce-blank.xlsx]Popular Products!pvtProPopu</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 Products'!$B$3:$B$4</c:f>
              <c:strCache>
                <c:ptCount val="1"/>
                <c:pt idx="0">
                  <c:v>Female</c:v>
                </c:pt>
              </c:strCache>
            </c:strRef>
          </c:tx>
          <c:spPr>
            <a:solidFill>
              <a:schemeClr val="accent6"/>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E41C-4E72-850B-5610388063FF}"/>
            </c:ext>
          </c:extLst>
        </c:ser>
        <c:ser>
          <c:idx val="1"/>
          <c:order val="1"/>
          <c:tx>
            <c:strRef>
              <c:f>'Popular Products'!$C$3:$C$4</c:f>
              <c:strCache>
                <c:ptCount val="1"/>
                <c:pt idx="0">
                  <c:v>Male</c:v>
                </c:pt>
              </c:strCache>
            </c:strRef>
          </c:tx>
          <c:spPr>
            <a:solidFill>
              <a:schemeClr val="accent5"/>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E41C-4E72-850B-5610388063FF}"/>
            </c:ext>
          </c:extLst>
        </c:ser>
        <c:ser>
          <c:idx val="2"/>
          <c:order val="2"/>
          <c:tx>
            <c:strRef>
              <c:f>'Popular Products'!$D$3:$D$4</c:f>
              <c:strCache>
                <c:ptCount val="1"/>
                <c:pt idx="0">
                  <c:v>Other</c:v>
                </c:pt>
              </c:strCache>
            </c:strRef>
          </c:tx>
          <c:spPr>
            <a:solidFill>
              <a:schemeClr val="accent4"/>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E41C-4E72-850B-5610388063FF}"/>
            </c:ext>
          </c:extLst>
        </c:ser>
        <c:ser>
          <c:idx val="3"/>
          <c:order val="3"/>
          <c:tx>
            <c:strRef>
              <c:f>'Popular Products'!$E$3:$E$4</c:f>
              <c:strCache>
                <c:ptCount val="1"/>
                <c:pt idx="0">
                  <c:v>Unknown</c:v>
                </c:pt>
              </c:strCache>
            </c:strRef>
          </c:tx>
          <c:spPr>
            <a:solidFill>
              <a:schemeClr val="accent6">
                <a:lumMod val="60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E41C-4E72-850B-5610388063FF}"/>
            </c:ext>
          </c:extLst>
        </c:ser>
        <c:dLbls>
          <c:showLegendKey val="0"/>
          <c:showVal val="0"/>
          <c:showCatName val="0"/>
          <c:showSerName val="0"/>
          <c:showPercent val="0"/>
          <c:showBubbleSize val="0"/>
        </c:dLbls>
        <c:gapWidth val="150"/>
        <c:overlap val="100"/>
        <c:axId val="1152714656"/>
        <c:axId val="1152718496"/>
      </c:barChart>
      <c:catAx>
        <c:axId val="115271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18496"/>
        <c:crosses val="autoZero"/>
        <c:auto val="1"/>
        <c:lblAlgn val="ctr"/>
        <c:lblOffset val="100"/>
        <c:noMultiLvlLbl val="0"/>
      </c:catAx>
      <c:valAx>
        <c:axId val="1152718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1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[ecommerce-blank.xlsx]Popular Products!ptvGender</c:name>
    <c:fmtId val="1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3.3963042926085853E-2"/>
              <c:y val="0.221943448609501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95377190754378"/>
                  <c:h val="0.1726694754627473"/>
                </c:manualLayout>
              </c15:layout>
            </c:ext>
          </c:extLst>
        </c:dLbl>
      </c:pivotFmt>
      <c:pivotFmt>
        <c:idx val="2"/>
        <c:spPr>
          <a:solidFill>
            <a:schemeClr val="accent5"/>
          </a:solidFill>
          <a:ln w="19050">
            <a:solidFill>
              <a:schemeClr val="lt1"/>
            </a:solidFill>
          </a:ln>
          <a:effectLst/>
        </c:spPr>
        <c:dLbl>
          <c:idx val="0"/>
          <c:layout>
            <c:manualLayout>
              <c:x val="-6.6069977139954328E-2"/>
              <c:y val="0.206386761833587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69565217391304"/>
                  <c:h val="0.19085948158253752"/>
                </c:manualLayout>
              </c15:layout>
            </c:ext>
          </c:extLst>
        </c:dLbl>
      </c:pivotFmt>
      <c:pivotFmt>
        <c:idx val="3"/>
        <c:spPr>
          <a:solidFill>
            <a:schemeClr val="accent6">
              <a:lumMod val="60000"/>
            </a:schemeClr>
          </a:solidFill>
          <a:ln w="19050">
            <a:solidFill>
              <a:schemeClr val="lt1"/>
            </a:solidFill>
          </a:ln>
          <a:effectLst/>
        </c:spPr>
        <c:dLbl>
          <c:idx val="0"/>
          <c:layout>
            <c:manualLayout>
              <c:x val="0.19525357717382102"/>
              <c:y val="-0.142909053493485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E00B0B-1091-406E-8025-A82D25044A17}" type="CATEGORYNAME">
                  <a:rPr lang="en-US"/>
                  <a:pPr>
                    <a:defRPr/>
                  </a:pPr>
                  <a:t>[CATEGORY NAME]</a:t>
                </a:fld>
                <a:r>
                  <a:rPr lang="en-US"/>
                  <a:t>, </a:t>
                </a:r>
                <a:fld id="{DB697E4A-14B8-4CDB-92F8-4FC4E28476CB}" type="VALUE">
                  <a:rPr lang="en-US" baseline="0"/>
                  <a:pPr>
                    <a:defRPr/>
                  </a:pPr>
                  <a:t>[VALUE]</a:t>
                </a:fld>
                <a:r>
                  <a:rPr lang="en-US" baseline="0"/>
                  <a:t>,</a:t>
                </a:r>
              </a:p>
              <a:p>
                <a:pPr>
                  <a:defRPr/>
                </a:pPr>
                <a:r>
                  <a:rPr lang="en-US" baseline="0"/>
                  <a:t> </a:t>
                </a:r>
                <a:fld id="{DA10BFBC-4D6E-4989-8E6E-F5EAFE7D267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199559732452798"/>
                  <c:h val="0.18631199298162004"/>
                </c:manualLayout>
              </c15:layout>
              <c15:dlblFieldTable/>
              <c15:showDataLabelsRange val="0"/>
            </c:ext>
          </c:extLst>
        </c:dLbl>
      </c:pivotFmt>
      <c:pivotFmt>
        <c:idx val="4"/>
        <c:spPr>
          <a:solidFill>
            <a:schemeClr val="accent4"/>
          </a:solidFill>
          <a:ln w="19050">
            <a:solidFill>
              <a:schemeClr val="lt1"/>
            </a:solidFill>
          </a:ln>
          <a:effectLst/>
        </c:spPr>
        <c:dLbl>
          <c:idx val="0"/>
          <c:layout>
            <c:manualLayout>
              <c:x val="-0.13221530776394885"/>
              <c:y val="-0.136275709690346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438574210481754"/>
                  <c:h val="0.22723954553823825"/>
                </c:manualLayout>
              </c15:layout>
            </c:ext>
          </c:extLst>
        </c:dLbl>
      </c:pivotFmt>
    </c:pivotFmts>
    <c:plotArea>
      <c:layout>
        <c:manualLayout>
          <c:layoutTarget val="inner"/>
          <c:xMode val="edge"/>
          <c:yMode val="edge"/>
          <c:x val="0.31251545169757006"/>
          <c:y val="0.34163119568788425"/>
          <c:w val="0.37524426382186093"/>
          <c:h val="0.32001574081094053"/>
        </c:manualLayout>
      </c:layout>
      <c:doughnutChart>
        <c:varyColors val="1"/>
        <c:ser>
          <c:idx val="0"/>
          <c:order val="0"/>
          <c:tx>
            <c:strRef>
              <c:f>'Popular Products'!$Q$3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3-DC7E-4C0B-933C-7A3E8FC60EE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4-DC7E-4C0B-933C-7A3E8FC60EE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6-DC7E-4C0B-933C-7A3E8FC60EE1}"/>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5-DC7E-4C0B-933C-7A3E8FC60EE1}"/>
              </c:ext>
            </c:extLst>
          </c:dPt>
          <c:dLbls>
            <c:dLbl>
              <c:idx val="0"/>
              <c:layout>
                <c:manualLayout>
                  <c:x val="3.3963042926085853E-2"/>
                  <c:y val="0.221943448609501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95377190754378"/>
                      <c:h val="0.1726694754627473"/>
                    </c:manualLayout>
                  </c15:layout>
                </c:ext>
                <c:ext xmlns:c16="http://schemas.microsoft.com/office/drawing/2014/chart" uri="{C3380CC4-5D6E-409C-BE32-E72D297353CC}">
                  <c16:uniqueId val="{00000003-DC7E-4C0B-933C-7A3E8FC60EE1}"/>
                </c:ext>
              </c:extLst>
            </c:dLbl>
            <c:dLbl>
              <c:idx val="1"/>
              <c:layout>
                <c:manualLayout>
                  <c:x val="-6.6069977139954328E-2"/>
                  <c:y val="0.206386761833587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869565217391304"/>
                      <c:h val="0.19085948158253752"/>
                    </c:manualLayout>
                  </c15:layout>
                </c:ext>
                <c:ext xmlns:c16="http://schemas.microsoft.com/office/drawing/2014/chart" uri="{C3380CC4-5D6E-409C-BE32-E72D297353CC}">
                  <c16:uniqueId val="{00000004-DC7E-4C0B-933C-7A3E8FC60EE1}"/>
                </c:ext>
              </c:extLst>
            </c:dLbl>
            <c:dLbl>
              <c:idx val="2"/>
              <c:layout>
                <c:manualLayout>
                  <c:x val="-0.13221530776394885"/>
                  <c:y val="-0.136275709690346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438574210481754"/>
                      <c:h val="0.22723954553823825"/>
                    </c:manualLayout>
                  </c15:layout>
                </c:ext>
                <c:ext xmlns:c16="http://schemas.microsoft.com/office/drawing/2014/chart" uri="{C3380CC4-5D6E-409C-BE32-E72D297353CC}">
                  <c16:uniqueId val="{00000006-DC7E-4C0B-933C-7A3E8FC60EE1}"/>
                </c:ext>
              </c:extLst>
            </c:dLbl>
            <c:dLbl>
              <c:idx val="3"/>
              <c:layout>
                <c:manualLayout>
                  <c:x val="0.19525357717382102"/>
                  <c:y val="-0.142909053493485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E00B0B-1091-406E-8025-A82D25044A17}" type="CATEGORYNAME">
                      <a:rPr lang="en-US"/>
                      <a:pPr>
                        <a:defRPr/>
                      </a:pPr>
                      <a:t>[CATEGORY NAME]</a:t>
                    </a:fld>
                    <a:r>
                      <a:rPr lang="en-US"/>
                      <a:t>, </a:t>
                    </a:r>
                    <a:fld id="{DB697E4A-14B8-4CDB-92F8-4FC4E28476CB}" type="VALUE">
                      <a:rPr lang="en-US" baseline="0"/>
                      <a:pPr>
                        <a:defRPr/>
                      </a:pPr>
                      <a:t>[VALUE]</a:t>
                    </a:fld>
                    <a:r>
                      <a:rPr lang="en-US" baseline="0"/>
                      <a:t>,</a:t>
                    </a:r>
                  </a:p>
                  <a:p>
                    <a:pPr>
                      <a:defRPr/>
                    </a:pPr>
                    <a:r>
                      <a:rPr lang="en-US" baseline="0"/>
                      <a:t> </a:t>
                    </a:r>
                    <a:fld id="{DA10BFBC-4D6E-4989-8E6E-F5EAFE7D267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199559732452798"/>
                      <c:h val="0.18631199298162004"/>
                    </c:manualLayout>
                  </c15:layout>
                  <c15:dlblFieldTable/>
                  <c15:showDataLabelsRange val="0"/>
                </c:ext>
                <c:ext xmlns:c16="http://schemas.microsoft.com/office/drawing/2014/chart" uri="{C3380CC4-5D6E-409C-BE32-E72D297353CC}">
                  <c16:uniqueId val="{00000005-DC7E-4C0B-933C-7A3E8FC60E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Products'!$P$4:$P$8</c:f>
              <c:strCache>
                <c:ptCount val="4"/>
                <c:pt idx="0">
                  <c:v>Female</c:v>
                </c:pt>
                <c:pt idx="1">
                  <c:v>Male</c:v>
                </c:pt>
                <c:pt idx="2">
                  <c:v>Other</c:v>
                </c:pt>
                <c:pt idx="3">
                  <c:v>Unknown</c:v>
                </c:pt>
              </c:strCache>
            </c:strRef>
          </c:cat>
          <c:val>
            <c:numRef>
              <c:f>'Popular Products'!$Q$4:$Q$8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DC7E-4C0B-933C-7A3E8FC60EE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[ecommerce-blank.xlsx]Ship Order!pvtDuration</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Order'!$B$3</c:f>
              <c:strCache>
                <c:ptCount val="1"/>
                <c:pt idx="0">
                  <c:v>Total</c:v>
                </c:pt>
              </c:strCache>
            </c:strRef>
          </c:tx>
          <c:spPr>
            <a:solidFill>
              <a:schemeClr val="accent6"/>
            </a:solidFill>
            <a:ln>
              <a:noFill/>
            </a:ln>
            <a:effectLst/>
          </c:spPr>
          <c:invertIfNegative val="0"/>
          <c:cat>
            <c:strRef>
              <c:f>'Ship Order'!$A$4:$A$19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 Order'!$B$4:$B$19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30A5-4969-9F76-36C5705B653E}"/>
            </c:ext>
          </c:extLst>
        </c:ser>
        <c:dLbls>
          <c:dLblPos val="outEnd"/>
          <c:showLegendKey val="0"/>
          <c:showVal val="0"/>
          <c:showCatName val="0"/>
          <c:showSerName val="0"/>
          <c:showPercent val="0"/>
          <c:showBubbleSize val="0"/>
        </c:dLbls>
        <c:gapWidth val="219"/>
        <c:overlap val="-27"/>
        <c:axId val="1237082240"/>
        <c:axId val="1237084640"/>
      </c:barChart>
      <c:catAx>
        <c:axId val="123708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84640"/>
        <c:crosses val="autoZero"/>
        <c:auto val="1"/>
        <c:lblAlgn val="ctr"/>
        <c:lblOffset val="100"/>
        <c:noMultiLvlLbl val="0"/>
      </c:catAx>
      <c:valAx>
        <c:axId val="12370846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8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[ecommerce-blank.xlsx]Ship Order!pvtRating</c:name>
    <c:fmtId val="1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Order'!$B$24:$B$25</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Order'!$B$26:$B$29</c:f>
              <c:numCache>
                <c:formatCode>General</c:formatCode>
                <c:ptCount val="3"/>
                <c:pt idx="0">
                  <c:v>7</c:v>
                </c:pt>
                <c:pt idx="1">
                  <c:v>8</c:v>
                </c:pt>
                <c:pt idx="2">
                  <c:v>6</c:v>
                </c:pt>
              </c:numCache>
            </c:numRef>
          </c:val>
          <c:extLst>
            <c:ext xmlns:c16="http://schemas.microsoft.com/office/drawing/2014/chart" uri="{C3380CC4-5D6E-409C-BE32-E72D297353CC}">
              <c16:uniqueId val="{00000000-B3F4-4EB2-90F8-A036E2BF9A90}"/>
            </c:ext>
          </c:extLst>
        </c:ser>
        <c:ser>
          <c:idx val="1"/>
          <c:order val="1"/>
          <c:tx>
            <c:strRef>
              <c:f>'Ship Order'!$C$24:$C$25</c:f>
              <c:strCache>
                <c:ptCount val="1"/>
                <c:pt idx="0">
                  <c:v>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Order'!$C$26:$C$29</c:f>
              <c:numCache>
                <c:formatCode>General</c:formatCode>
                <c:ptCount val="3"/>
                <c:pt idx="0">
                  <c:v>37</c:v>
                </c:pt>
                <c:pt idx="1">
                  <c:v>51</c:v>
                </c:pt>
                <c:pt idx="2">
                  <c:v>39</c:v>
                </c:pt>
              </c:numCache>
            </c:numRef>
          </c:val>
          <c:extLst>
            <c:ext xmlns:c16="http://schemas.microsoft.com/office/drawing/2014/chart" uri="{C3380CC4-5D6E-409C-BE32-E72D297353CC}">
              <c16:uniqueId val="{00000001-B3F4-4EB2-90F8-A036E2BF9A90}"/>
            </c:ext>
          </c:extLst>
        </c:ser>
        <c:ser>
          <c:idx val="2"/>
          <c:order val="2"/>
          <c:tx>
            <c:strRef>
              <c:f>'Ship Order'!$D$24:$D$25</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Order'!$D$26:$D$29</c:f>
              <c:numCache>
                <c:formatCode>General</c:formatCode>
                <c:ptCount val="3"/>
                <c:pt idx="0">
                  <c:v>150</c:v>
                </c:pt>
                <c:pt idx="1">
                  <c:v>182</c:v>
                </c:pt>
                <c:pt idx="2">
                  <c:v>163</c:v>
                </c:pt>
              </c:numCache>
            </c:numRef>
          </c:val>
          <c:extLst>
            <c:ext xmlns:c16="http://schemas.microsoft.com/office/drawing/2014/chart" uri="{C3380CC4-5D6E-409C-BE32-E72D297353CC}">
              <c16:uniqueId val="{00000002-B3F4-4EB2-90F8-A036E2BF9A90}"/>
            </c:ext>
          </c:extLst>
        </c:ser>
        <c:ser>
          <c:idx val="3"/>
          <c:order val="3"/>
          <c:tx>
            <c:strRef>
              <c:f>'Ship Order'!$E$24:$E$25</c:f>
              <c:strCache>
                <c:ptCount val="1"/>
                <c:pt idx="0">
                  <c:v>4</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Order'!$E$26:$E$29</c:f>
              <c:numCache>
                <c:formatCode>General</c:formatCode>
                <c:ptCount val="3"/>
                <c:pt idx="0">
                  <c:v>312</c:v>
                </c:pt>
                <c:pt idx="1">
                  <c:v>373</c:v>
                </c:pt>
                <c:pt idx="2">
                  <c:v>351</c:v>
                </c:pt>
              </c:numCache>
            </c:numRef>
          </c:val>
          <c:extLst>
            <c:ext xmlns:c16="http://schemas.microsoft.com/office/drawing/2014/chart" uri="{C3380CC4-5D6E-409C-BE32-E72D297353CC}">
              <c16:uniqueId val="{00000006-B3F4-4EB2-90F8-A036E2BF9A90}"/>
            </c:ext>
          </c:extLst>
        </c:ser>
        <c:ser>
          <c:idx val="4"/>
          <c:order val="4"/>
          <c:tx>
            <c:strRef>
              <c:f>'Ship Order'!$F$24:$F$25</c:f>
              <c:strCache>
                <c:ptCount val="1"/>
                <c:pt idx="0">
                  <c:v>5</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Order'!$A$26:$A$29</c:f>
              <c:strCache>
                <c:ptCount val="3"/>
                <c:pt idx="0">
                  <c:v>Jan</c:v>
                </c:pt>
                <c:pt idx="1">
                  <c:v>Feb</c:v>
                </c:pt>
                <c:pt idx="2">
                  <c:v>Mar</c:v>
                </c:pt>
              </c:strCache>
            </c:strRef>
          </c:cat>
          <c:val>
            <c:numRef>
              <c:f>'Ship Order'!$F$26:$F$29</c:f>
              <c:numCache>
                <c:formatCode>General</c:formatCode>
                <c:ptCount val="3"/>
                <c:pt idx="0">
                  <c:v>224</c:v>
                </c:pt>
                <c:pt idx="1">
                  <c:v>247</c:v>
                </c:pt>
                <c:pt idx="2">
                  <c:v>250</c:v>
                </c:pt>
              </c:numCache>
            </c:numRef>
          </c:val>
          <c:extLst>
            <c:ext xmlns:c16="http://schemas.microsoft.com/office/drawing/2014/chart" uri="{C3380CC4-5D6E-409C-BE32-E72D297353CC}">
              <c16:uniqueId val="{00000008-B3F4-4EB2-90F8-A036E2BF9A90}"/>
            </c:ext>
          </c:extLst>
        </c:ser>
        <c:dLbls>
          <c:dLblPos val="outEnd"/>
          <c:showLegendKey val="0"/>
          <c:showVal val="1"/>
          <c:showCatName val="0"/>
          <c:showSerName val="0"/>
          <c:showPercent val="0"/>
          <c:showBubbleSize val="0"/>
        </c:dLbls>
        <c:gapWidth val="50"/>
        <c:overlap val="-27"/>
        <c:axId val="967279232"/>
        <c:axId val="967281152"/>
      </c:barChart>
      <c:catAx>
        <c:axId val="9672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81152"/>
        <c:crosses val="autoZero"/>
        <c:auto val="1"/>
        <c:lblAlgn val="ctr"/>
        <c:lblOffset val="100"/>
        <c:noMultiLvlLbl val="0"/>
      </c:catAx>
      <c:valAx>
        <c:axId val="96728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 ?</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Aptos Narrow" panose="02110004020202020204"/>
            </a:rPr>
            <a:t>Where do our customer live ?</a:t>
          </a:r>
        </a:p>
      </cx:txPr>
    </cx:title>
    <cx:plotArea>
      <cx:plotAreaRegion>
        <cx:series layoutId="regionMap" uniqueId="{B096BCBC-0FCB-43BC-9E88-F79315DAC9BB}">
          <cx:tx>
            <cx:txData>
              <cx:f>_xlchart.v5.2</cx:f>
              <cx:v>Qty</cx:v>
            </cx:txData>
          </cx:tx>
          <cx:spPr>
            <a:ln>
              <a:solidFill>
                <a:schemeClr val="accent1">
                  <a:shade val="15000"/>
                </a:schemeClr>
              </a:solidFill>
            </a:ln>
          </cx:spPr>
          <cx:dataId val="0"/>
          <cx:layoutPr>
            <cx:geography cultureLanguage="en-US" cultureRegion="IN" attribution="Powered by Bing">
              <cx:geoCache provider="{E9337A44-BEBE-4D9F-B70C-5C5E7DAFC167}">
                <cx:binary>3H1rb9u4tvZfKfr5VYYXSaQ29mxgKNmOc0+TttP5IriJK1F3idT115/lJO2JZWe2AoyB99htUSTy
opb0kOvOxX8/dP96SNar6kOXJpn610P3+8dQ6+Jfv/2mHsJ1ulInqXyocpX/0CcPefpb/uOHfFj/
9litWpkFvxGEzd8ewlWl193H//wbRgvW+UX+sNIyz27rddV/Wqs60epvru299GH1mMrMk0pX8kHj
3z+6q0T+yKtMrj5uXyO/f/wjWaXrx9UHN68z3X/8sM601P19X6x//7g1Dvn44bfx7XZY+5AA97p+
BGLKTjgyOeE2dZ4+7OOHJM+Cl8sGJuSEMGIyG0Z+vusVsPIujp74WT0+Vmul4Mme/t8dYOsx4G38
8d/fwsPmbWwACACL3z9+zqReP3640yu9Vh8/SJU/va6qd/PNo36+e3o3v21D+J9/j34Bb2v0m1co
j1/tf7u0DeR/Afkc5ps6AMT2CSUMMDStZ4idEcTYObHhGiYYwH+N8WSG9iO8TT4B322CI0PXzWGu
blaw0odYx/wEYe44lLJnkPkIZFjHmJrcYhiuvAb5vXztx3rvKBMg30t3dMgntToE5s4JQQ6hNrbQ
0wdE9Fh2I8Sp7ZjWGPOpHL2F9hb9JJy3KI4M4btwdZBVbaITi5k25ZS9iTDlGHFO7G2Ep3O0H+ER
/QSERxTHhvAq++DJdZAfQD+TE4YtZjlkLLMxO8EAPub0RXOPMH4PT2/AvDPEFKR3iI4M7D+SQmbr
AyDNT2yHWiCvzf1KGiwxBh8LFv021NM52o/ziH4CyCOKI0MYfK1Vs65WhzC3+Ql2bILB5H5DZqMT
m2/0tjmS2e9iaj/Ou0NMgHqX6MjQ/iNdPebVQdYzBc8YEQ7LddvyQrCQCXEocp4mAR4t58kM7Yd5
9EATMB5RHBnA9+twlR7Awgb7CzPbRhbB+13nTXSEmti0MdmH83S+9uM8op+A84jiyHC+zB/zh39+
HZv4xHSQAyEQ+xlmEMzj5WyZBLQ2ptsLeTJD+/HdJp8A7zbBkaEraq0PYXU5JxaGVYresroIPrEs
WMIQANtGdzJD+9HdJp+A7jbBkaF7kasPf2TBOlkfwugyT0BIE8p/xjh3XCl+QkwK2ho/W2UjpN/J
3H689w0yAfV9ZEeGvbdOPlzlkEI5iOxmlgnG1ib6ufnsJDBMiJKZFBIYowzGu5jaj/juEBPw3iU6
MrQv19UD5GHcA+SqKLIdm9svUI8XOUEnJscOrHFznzU2na/9aI/oJ0A9ojgynGfJBy+vwLU6ANT8
hBHHtshLVtIZ56wAakh0YEho2Pugfhdr+9HeHWIC4LtER4b5fZ2sqgOIcQpJSoo2XtSzw4xAQW+Z
4BAaIw7nHFsjE3w6R/txHtFPAHlEcWQIzyFNnx1iSdsnjGLbsvAbvvQm+Mkt+INH2arpHO1HeEQ/
AeERxZEhvMz6w+DLEbEIYi/B7bHIxpvAqGPbsIi33ayp/OxHd4t6ArZb3z8yZBfJOssOoI3BgybI
ws4my7gllTdVBQ7HjFoj43oyJ/tB3SafgOo2wZHBelqn3/PkUf/zyEKAk3Ebm+YusibkHjFFUBr2
7Fdtr9n3sLQf4p0RJqC8Q3NkQN+tHiqorsv0IeQzh1oCSD+akHt6+uw4ypso6OYPhMo2n1GI5H28
7cd8zxgTUN9DdWS4L9NiXclV8s8vcArFBVBYYJkUP4GKwHrekuDYOrHAKLMgz7EP9fdwth/znREm
IL5Dc2R4n6+rQ6hp64Sypzj3M5T7fKhNkSCGctBtaT6Vn/0Ib1FPQHfr+0eG7MUqPoR37JxACBNC
15BQfvrsqfRzsIVtzkY1BVP52Y/sFvUEZLe+f2TI3iQ1bBY4gIR2ThxqMwh1vfjFO3oZnTgmh+wk
HfnF0znaj+6IfgK+I4ojQ/hipdT6AHIZjGwTSr6481wjgHZ0MAQzbbhscnskl6dztB/hEf0EhEcU
R4bw5eoRir4OsIbtEyj5AieYvVRij6OXgDCywfQ2MURFXlffT+doP8Ij+gkIjyiODuFKHmAJwzYp
h5lQpIteEhI7qSdyYlEMC9gZBbcuVxMZegvf1+ST4H1NcIToFvlB9lIwSB2asH75i5Aer2CITju2
yTgBI+zpM17HlZzK2dtIb40wEewtmiPD+1v9/RDS2jnBoJAhnvlWhS4UBIElzWHnxTbKU/nZj/AW
9QR0t75/ZMje5Vl+iIpNyk9M6tgOg3X69BnHOyBiDbstbBNW+za20znaj+6IfgK+I4ojQ/gSED6A
pQV1XLA94lcJyE65zyZPTDiHpT22tCbysx/draeZgO3W948N2XUGZbjyIPBuRDOoV8ZewpVjNUwo
VHMxm9IN8FuG9HuYegPjnSGmAL1DdGRoX1crqNo8wEqmEJmGAh5uv7UZCloTWLCBwh5nIqZztB/n
Ef0EkEcUR4YwyCq9rtb9ATC2T2xmM0bRW9oYn9igjG06bi/xHp72o7wzwgScd2iODOmbZPWwPsxG
KNC4m9X8Ur21Y3XhE6gLgRwUeXaeRrp5Ol/7sR7RT0B6RHFkOF+tikP4TWB7gWFtwj6JN21rqBaA
jRZ8VA0ylZ/96G5RT8B26/tHhuydVLHs8/qfl9WwCQrq8wC6n52AxvVb4DnZsHnZgkDmtun1Hp72
I7wzwgSUd2iODOmrdbM6SMcncJBswjhFL7HqfbIaQ8sQ0xnlEqdztB/lEf0EjEcUR4bwJwlb0JV8
PIxx7XBkUfpSCbBbCsCgVoAhaPk0UsXvYmo/zrtDTIB6l+jI0P6WJ4eJh4B9DVVbCJLDW4U9sKsR
LjAMVXzb4noqI/vB3aKegOvW948M0jtohCLW0HXuEMDa4P2SzcbVN7q2Ab4mIgiKN0di+n1c7Ud5
zxgTsN5DdYSIX0J7wUMA/pSBYgzKPJ59pJ06EOg1QDiEx8zRgt689slMvY339hAT4d4mOkK0BZTq
rarHw0Q7ocYa+rNBf6eXsq6xKQYNoAiIdnCtt0X480J7D2Nvw77nASdiv4fyCCfAHOKfD1I95D8h
+Ge6rjKOEIOtML/iIdvKm5yY0HnW4nQP8r84muIEvg387jATcd8lPELYz/JVWR+qlAQKSUwCAO/P
UGJY9NCt1XGeHbQ90v4dzL2N/3iQieiPyY4P+01/VtjleogIGnhd0IMCqnjf2sGOTzZ7XMH5HtV6
gsR/D1tvor4zyDTUd8iOD/UPF7VUH66/S1UcwrqzTgiE1iCuAnJ/89lJbEINKDjr0IRmj8R/J2tv
or/3GafNgL2kxzcLYKKLVfX9MKvf3Cj1TY3g2zugbYdDPzFo2fv0+WlyPLdcf5YB72DvzXmw5ymn
zYI9hMc2BzZNqA6RIoPKBkoI9IV8AX+nghRSoeDvg94f+/OTOXoD7236KUBvUxwbws+qtKqHKfbz
O49TgEJwBv0A0c9OcjsokxNoFwk6YAfld3H1BtK7Y0xBe5fq2BCX6+og5hzsi7cRhS3Szztm923s
gIsg8vl+U34yX2/gvU0/BettimPDOU9WB6lK2xQdQnHDppBlv/EGq9p0AOSdWOxkjt5AeJt+CsLb
FMeGsF5lUiWr+hAb8RjswkLQysJ+a5MlFLGgTRdBNtrjASfOvIOrN5DeHWMK2rtUR4b4PWxngaOO
/nlVvWl9ARuhIRTzYmzvibdv0mpgjI8iMO9gaT/W4wEmAD0mOTaU6xy21x6k5z7s3OIQRAe7+g3Z
jU5Ag2PMyais5f4dPL2B83iEKUCPaY4M6S9QtF0fxBiDPp9galH01glITx3koATRRiPx/Q6W9uM8
HmACzGOS/wMo/z2LW8+8Oejsj5/Biz35kvcfUgfNt20b4ib71zBAa2PY8gPbuvYFTuCAg18n6z3v
GdjH035sX9NuPePzI/79SznMEXRvH0/366Q/b6VXs6czAl+dUPf3V58eH842HJG+bLLY88J+1Xgu
H3//CBWhdLM59hWym4G2tmj8ylP/nBnbhGs4Q+n3j08nDiIIgdu2zSBYatowZrv+dQla8WNiQQgd
duNu/K0M2gqHT+cYMuhVBRuDNg1BoYsgUKm8frmEEYPWkqDKocM7uOa/znG8yZM+yLNfL+bl5w9Z
nd7kMtPq94+wS6x4/taGWwvB3iPop8Oh0R1UTzHI0cH1h9WnzdF98Bb+n6rbukztvr1G+U0VmLM+
Yt6rl7LnDsDpqztsPEVoBwFllpADgB6o0Ddg+w52y2Jas7q+VmZ0JtkXA1071q0yT7F/0zZXCs/+
/n7QCv2/3HHD0atnIh2v5ICT+joqakPwPtCO6FVOUpEHubptq5yfNdoqruzY8oWy53bUl7PS73xr
plPNZlGQ2X91kNVa2jRsRF8WpodVTgXl4YWVJ18yTmK3qNBjY8Q/nM74MxsAAUxMwXIzElEAhzhm
fWIJSkI+qxIjFWkgg1MztheqT+Qc9oTReVDIfOH3XebKTkaCVTUV2YAq4RN5Z7TcLWr5iTfNuWPR
XDDZXBilDyhFUqQ+L0TZas/sqejt9tb3k1b4Bj3Nc3zThFTAEZnLDNVSxFFwnjtY1NT4XBk4EE32
VzPQm46Fpw0b1AxrtZDaXJgFPwul1YnQztu5UVRq4Yf9ZV6z4Y5p5FSisnqV3eVlaJ/aZeFGOCtP
Szs09O1QmPCLOq26/DoJzAuNMLvK0sE6NZUevLSm5fcY8Qvbbi8NM70omFx2cXtZOf6VgeKrfrC/
4sSxRWkYjoBjAecVkQ+mhR4TI7dmrWVedoV55hPqNXFxof12Vtf9sqfyBg2lm/mlJ7v+ou27i5pX
uaeHFLmB1Z6rBn0tazIzzTwQaTZ8tpIuEH7ax1eyzm6yWC9q3l7FQ3yG8piJrrCRiHXVirLjmVBN
jITZJzMVsc+l7isRGSiYk7Sol3Xd6kXiE3XLZdlfJH1uzRUn50n66BjttRnyT6qusMBhokUYVnNc
pGd+Im/qzLhrm2weGgBL3iUzLh3BUv3IwnoQ2I5uSdDOnDqtRdhhD9oYembU3+o6D4UqGtduzUVb
NXNk+p62uUgx8vI8vxsy8yb1y9JtO9UIncTNp64PP9k+XlZt7fGC/2nGmdsxq7ovkEHdSFY/MtrA
bHIWtM3EMPiJMJHp4rhZozY4z2rbK00cuSDBliSNbJdSObONVmA/uAllc2la0WlppYsOWbOEZW7d
+edK5aeV1Qg1aM9SxhXoOI+0xhIExW3PAy18iZSgpj8vHfrFrJRLYIW4ZZy1IrOS/jRurWRZJdm8
kEEtaG+cxWq4V0Ubij7RV7LK76IGeVHUwLT2I8etOVk5dbSKGL/MyyQSXdTGbquqXviqTV3Lb/jp
k5h5UUYvcu1Zkj7kRV/JIHw5FPfXj/+5z1P4+3S+6v/+cnOm7v/+tFjnm2yHGn9pc59f34LbvNx3
o2S2ftjRem/otedTe9+4+LbSe626LCjUeiVqd/Tda9Ph2ex4UiFPVD+VHYYSoM2pBQja01vPauuX
soN00aZGG4ISHEyfTdXXi7IzIdyEN3tg0cbegc73oCJ+KrtNHwoYEMpLOJwaCM2+3qPs8EabbWk7
B062gbZSNkS+KJQsQFb6tWbQA82Lsq67q6ylzqxp/bAQOY1Y7MasbW5tw+rPoq7J4hlCsf6mc7P5
HJuqK4VysvLrq7e3RzFujqMdcwPFUHCwFvR3hzOLN375a27MrC9iJ6ybK1Jm+CqIh8wXNcvt0O0a
nTuiac36G2sKQ4oq5bp0y6iKQXgNipkubGDKHh2t0TWMEdYeSRL8ebAMjhe9bflr3Bu4m/89x2Rb
s4IOh54RoMzBZHDAXIHeEiOOJQsB215f0c4KAs/uhuRzA5FEOtcMxJ9o+g5HnmQ+FwOzeyn6GNFF
2lQ99qom149hpxR2pVFYnoITqUFKpSFqQPVZcTAL8ii8iWvnLFVOqDzYg+d8UWF5Hiet1c2kMuxL
WYVNuvj7p9qFAbZyIWgrCGcqwPmETw/9ylxgvRG0RpGoq0z7zpc84JgIMyYwNYqs7m7arnLuCh8n
f/79bTdz7fVchLb+cHgto3ByGhiahG7YenVbC3WBWaggu8r4gK9wHNZXmapcyf3wy9/faWNhje/k
QG0t2J+QsWd8NM+KzOyHsgrzK14gc1W2eZUsfM17IuIinKGyTgaXop7nbkStNv1vk2YzKbZvDxMF
DEwTToiDFqzj20MUWoZBlsorVsbWKo1qaxUnGx6sIVUzu8pz0SOAftEmZUtEGedsrRNHLVunNy86
m1bIpW2Ux27EsvQzrQqwAkLe9+vCaAoPGUPKXMvJzerUovZQi79/e5t23WP+2UZsQBYbDg6H4vRt
oJBdW5ll+cYlrv10JSutAoGNWGcmqKY+C87aUMbfA+4UF91QhnM7NzvpEtywH5oNQ+72YcBcM4+a
tawoe2ysImRnf8+kae2ATE0Kk2gT/IOaWjAft7m0Ky5RFWp6GYEl5jvc0044LDrdUWeum7p2q65E
t03aW2BVhCFzK5wtFKmKRWIWxI2TMv1UJFbaCZa0wdc2SvNlr7QWhVUWn20Vc88vM9+t8wjsT6lp
BPZmpLKrtjDUdWkMdBYE2ImEMfhZ6pImTE8tWyefSBTcBH1GO5HUrLzSfnmvSWpQz24IvEjZE5AN
Zj0MArU8ukhCi3/zUW2ehTbHF0PQNY7botBMXZh0cmnwqk9F2/PBw61leEPUPRSq1Hc1MlgoWrDf
574q66XpE3JfhriNFz4zsBRDGPvfoZapaoTMSuOvOmWpVxSKLOM8K5a4dJJH2RQ2rHuaxnfS8Tsm
mtIMziq/qt0e3sMCm8S5Ltu0m5ltVc4x7nAzS+CU6sBt2oCXbkNCf5YqWnl14VyHvhEgD+Ncn4Kq
Ia2bocgWXLPkzy5F4TmpnOLOotpa1E5kkLmy02HF7byaKdRFw7yJeTA3ug6tiEraHyooCssdiEa1
yALSBPNORzksjrad9UFT83mV+6GXaJqeZvBVAeIcjGG7SRsmIhVFhsv8loGTYnWDMHXiu1QbWbqo
7HgWmHWPbluKTU+qCiUigpmk51S3jlp0lHUXdjwMiX9bt6VOU9HLpM+qx9APCRm+qdboWBoKpwJR
nj+QPo00reCEqLou0JWOdRp3Z44sh0Xj1NpfppWUhYhIkt8hZtBl1FNauzVg4IO/hZwO4Eo59zLf
B30Itmxbzuy4DZBbJRr712GJbJafxj1rQ6/vEkdf2EpTmFGtn2PVujXowrlthJF/3cDSsQO3BAMY
JhyNVTrPElk5IilBefmzrpG2a/gQrrFE76PMhEPP/TR1Q6du/XmbsCSdKR+sgrmVBeng8sECiZmR
2KzdNKyMRDSqD9SNkkaazvJA8h9G3TCJPJQTvZAmr/mVZfiBf5ZRppkVuVmnyqE/VbA5sQpnRRCy
dOarZijnTqUyOe8TO+1PkVJp4VoEPEaXdVafLCpZSsMFWMlXo0gH7MGWqTj14B8yrpMIGQpeeZZ9
jdLUSZe0cnQyi0NtfxpqDU5VZOQEn4dtqFgmWEhCvfCrpsjuQBnTsygYSDyvwfHLZrlOgmHGcTc4
Lo/6or1MeQ9T24ClUnk+xvVZRS0r8QKfBrXHsgbglEyBfZINER3WSQx9bTwODKQe7dOwXGIkzdNA
sth2SRyX1JO59L2h9mNLGG1VODeR30amS2UZDSItosE4R35igt/kBxaw67BihvtwyJehxG0wix0z
bMXmewI70gHnowxo6XatNAahO2n8VcHRAb0hJKwjcoWHTA5S8MY06H2ftKS+sgunz73MKfWlVWeg
kgLFYiBwUgpvy5chzr5BJCELz8o+Tbq5aq1BnmMd6HszItbK6vzUFxzD5J3XWcfoTNmDBOZrHKVe
QstYubz1ZxLL8lvStmBZREHU3CnLbr8XVUjBA28Df8ZjCxGRcR/GsZI86uZZ1eCroSuoeau0he+x
NuAbrW0o7mrcs27WgD8mT6uOkHaZsUCRa2kw50uGys3kjKJSLViiQnXT9abmLipbwCZsM2AsVyB0
z0GDOV8oRzC7U5CSlQdnEXX5UivHJzdRVcfxJ8Izx1x2ZtTWl7rTG+Mz7LsbKzbsbpa3Kdw6z4eh
ER1J9bBAMds8/Ib1FuQT8FWk+Mq0MniKGrxEX4RxHg+uEzewdIokiOVtVjFY8lUNVkEA10CmEp2F
1yU2+yoTtAgRwN1WXX2ZGmGhhER12c076NBAZ31Tko3QgMXkwhOBAOkcvLGTdZZ+gViBc8YbKbng
oRXDvOgDe9VmFNjoqqj/RHWH1HkAZm50nhdZHN1x0BYLlSF8VTpB+Q32K9mlCM1QkrOcB0597od5
0Hh9xcoWDNyeLgoCr9VFrOwf4iS2brpaofy0RH0Tf23tNFCnqW+kP/rB2cgQWSahB34ApzNJ+lDN
Czt1vhrIT+dpWwSlYCaIub5qw08y1+rcSePI8ixSkQDEHhwbJpqQOF+qyGiCWUIyWCaD4VNnaWY5
LtcpCOT+DI43gLXRbiT2LLIMeKNdMzQzUDJteY6rmtiu7yS6AU1LGwSmdxn9VTmNc2/0YKafDY6u
8KNWWa8gsIBZs5QtgaG6FIeDa7aBHSwLgKV1jdix50PeNPqy61kCLrkqBWfq1Ey7xjodWhvAiRFW
w6JI4jy/zOzOvDA0MvNZWGZpcx70bRG63FJpeA+WiHpETgZiBEQnxC/iULVKOG3DS9ACfXmXBCWW
f+J8oLwRA1hg/edCU8OBwZRfzUJmxMGZ4Rft9zBARuMmTNnxUjoI33bK8IdFVZdKzuRQwySVREcQ
A4uTwbpK7SJJRFk0yL40cWh2bg/WjZq1YQGotTyTgagGloLsUCqZ4Y52ldckhFeLgZcw+2OzC5jX
+z1Srl8ou/zaWj2+j8IK5hpoOucLzPVU3WROhkHAksKJ5jwN7VZ09TfC65ZjEccN+2yRrGy91gq0
eWn6CW8+lb5yKlDuMKNnhaSAJjgOEOWSVMf5BauKkN6QDiX20u9yB56r64zgMq6MovVS5YPMAGus
1pdJ4gP/lRMHcxXyOPTaDqFlX5qw7nsIXUth+iG7fLJK/+kYyaV8qHKV/9DjIMnrGMl//j+PpOxJ
HyD43W+vQzJb6QNQxHr9Ov7ynHPYEP2MpsCeSGgOtamhRZtaSxsqKX9FUyBmAvkhBnupGAWnFdyB
n9EUOOQXegGCIwBFeVCcu0k4/IymbA6dglCdA7EZCi2pHPM90RTINow8I2vjwdoQm4HCA8hIb/h7
7cI2RafAIgrptepM5A5ds2x7s/RwRKmo7HKeU1KLSvdfGRmopwLzoaL8Qjt97FkboRd1vrnQVXiu
2xyJDGWXRgThbz4UtQchzKuuspVnOlXu5nn9vXeyb6EMZqCJP8VmtMh6fUYo+VQWBYTcy74WTkGU
qDC5yFKwKQKDfVaxk7uJk2oQR/7nIY++WmBrCVBanWt36bUV0Gvc2jOnzM9YUi5ja6DLofErt44J
d5uwW0BcZkZ48cMswk91G1hnWeAvIGD4ncteOGr40qk0FzFJCUT741jYZpp5tPBd1OW1y4rwS4vr
v+KuMd0wDk9JnWeiUKwSaQgGsm40hP8LehWn5VkSm1S0VfWjbEIsOiPX7pDwa5lWhdsG5XVkNcVZ
l2qQIdIPPJbmMYjJKnAdFPhXys6RBzbrAFF0c/jBSRNfNSZ7GCS83MJPw1sCEkqEqlqHGjmXUZ4s
LccACUGKfhFmil8r2aUzxlpArQ5NUQU6cOO0a8FqyULRRNheyAbi53YFAt7sWHCLAooXQxEFogxk
AhF2GgjwR3IhUxrMUJ9Ep5RCiNuQkiyicBNpGMBvtjvQayjPQT362MNdj8ANVXJuosKfmy1NZlWq
yULnNJ1lNLqATMP5oKPrOMNL3QeDJ1P+wx/AmYpYas4MJanX1300wz7rF3EdJDMUhRxeBO5noOKc
hY7sQERdVS8cAtolDSoIHYBd9ilrGV/UhRXOINkenSLk+17TJFQoSo3bBLZAiHSAJy072xbSRvac
B4Z2o77los+DYmaAtQfiO5ZnllLtIiDhfU/UTV2jbBYavBe5LuA8HAW2S2iDh1E65lnhKCoCvImQ
DZtXJEn2V6us6HMGpq1QoZOd9jWEA0kX5CLxM3xt8RDMt2LwQcQzeMeVUZ/yFuR22JoQ3Ge1fIxT
yQSKmD9rgtQ4RTqa11Yy8/3MAb8Y/NrUySqIu9NUcDOqhRG13KuKNHHtJrJvB9zdRl39yW7TeKZI
hKWbkOQKnGN9CvbTD50N3zVuwrkucC0SJ6kuJehCl3a2l1SlvYQ0on9hG6xZcD8zPxGj/iKdXBse
0pAWWISkw1jIuniA8P6MDUYM1mSUCMXDcmHI/h4bLZ53YWC7qHHOspTYs7btsXCaepnUqhcFhFPA
FwxmMsuMM8NEp5LSz42KtKuC8D4tozMWZTctU65hsEtl/eUzcl7ndvNnHyfr1tYXnWkYIqsgSsnb
ur2owRE6dRwdCVnJWAQxuiBwt7AIz5vG/FGC3+DiIblELcKicdiXgUPYR0YDF1qlj4pBLAhcxWUO
+RkIlF/UloQ4RdhQL0t5voglBtu4CS2v6/NONJIxCOWmy0yRwmWKWvO+BwhxmV7XRnCXdP5fKK+/
FSaIB46KxmNxdS5bvOpi256pmEKYQeXBHNd4gSWFWJlZzZpIEcEGnIpENZeKt19rSMd6zDBvnI5x
kacsW3LLgm9qFIk6Thq30Pl5HaFTMDEyt4FMTITy8lo6uhcRuJHC6BxPd3C0nm/HwmqkB16+/S32
69Sa5Vl3mRH9kJtsmdXWn2BZWEuZYhFVw3eIh4DXn3en8NDJPCQQqUjx4CU2uwojkDJObghStW7s
GLlocnxqlPZp35ZeRCAFasj2FpLZFwlR1PVl8l1z55Rl9AoHxcIwy0UA3j5g6nYJhp+tVcildJWs
fyjJbiB8qGdN3i91aoazmiWuYca34KEZoAtqN6H9eaiT29QxPCzD+wRCzqGdnbI6ybw6lfeJ1C6Y
x5XIfMVE2g+nPkSgZOJypDrIABCXErT266wXoMeMfgHZPsVvZBonbmBnn5CsqtlBLKj/g7YR2BJv
20Z/pHAMa7XHOAKqX8YR9KCH7l3Egj7XcCIQlEH8r3EEdhNYJPam+zWF8opfthG004VGqghO5tzU
QYLxAmbTT9sIiqIx7GOFKPmz3cTeZRs9pUJeR72hsALKe8BA2lhpcGDRyDbKC2uIrd5X1yih93Gu
7oiyzlNT3cYdmCttY4ZnAQKxjM3TqO8jL41jf+43duvqrvYFKgtwB3uQ7BDA+IRMEHxhwbBoTW1D
YhXfalRCmsKBsTKWh7MkKvDSCSoiijC5q1gWiSHLucB5d2mUKAfNHIERMTSGa3SW70EYKpolDTHA
PmvLK5Sl99D50LpkzZBdRIRokdukFIGvghlJ2MJUTgChk7x17RAU0VBl92HGqQeJ20KgSi3Lwpr7
XAcgpSDKwcx0DbHwLxBHNERCrNOcGnfGEGPhl+py2IQMBiv4DnnCSJRW3btV3s6yahnhCxzQxyZc
VdTVTgDlDGDotE0NeYGhhhoJkONelnSxRwZVzIo+WrVDXohOV4+1bs+wLlrhIHigqvGXquI3vcEK
0WczY7ioNT7rTP6XFdnLHEWmcHqQkw6zLqqggmXcdcJsoK4i7/B1bFeJCFD9P+yd6Y7cRratX+W8
AA8YweD083DIsTIra67SH6IklYJzkIyJ5NOflXLbLdndNnzv/XOBNmDAglzFTA4Re6/1rc2cRC4u
iRfKRHEu9+HE3ATq4D0senYXO+WXmfZ3so8gDrRem1akJBs6CprI0JCNF0w6Hwqh8raZ6qxoLEkm
cBC0KveLrljiT2VWR/393Mg6cVdN8tGDnRHJZUmCGDpzAHEh56MyD1y5WBRJ/MIdUSeiGrajWx9k
Ez6yeH0nDu+3wBoS5aq8NmWcCVo2kLKnMhnYsLOuoWmgxgPeyyNx/cZt7HV12hSkdy8DU/1DVIw4
8CSToRG3K5u+VMKKPTXOBTf4eywqkUyoAw9lQ16n0Zwm1JqZg0oiq6z3MVv9YcJl2Ug1A02RUbGD
ZPm5wyOKcpuWaVMFzaay+sGnXB67yD2Yun4b1vi4jmRNfVFuhXVuxmUZEulG7kbxgiSiKWwySXlW
9YrHxzyWvPg8lmG06z2IxLXTPRSrV0KA0i+jF+6bUfFd5IsDps61iViCbhPJfh9w/2kq3RLcTx8A
iVkf8DvtzWh8A81IiFzxYEq/64NmgtBL4uvFm70ldYMiyEjBXqSop9SsWidS9v1BUj2ns4MNvVyq
EVtvi2J9luKVuwXf9eA9LnXgo/DyxmzuF7KJdPcc0bVOuCohydQo86iocIGGPi/aWkMeaio87Yru
ZQXSQ9RBmU1U7901cvdjVO5DUrTbAJ8lGQNvSbAsqiSCrID6Z03E2O+YGne1E2S1WBXke1VDY3MI
njSmUsiHc7KwMsxiLjPFCARg/Ac20UvN40RI80Tm+uhP+iC85Ryz6cGERier7LalUzRJ3xVr0jfk
bGb9VAm/T9qlvHRM3zXcPkfNfJLd+ioLqFQN7OukE/UzLJ4Dm93dIuWjikDWjLp3E9T9XhK3800j
xzx0J7HplkiiLJhPxeTdNSCn8tmSPKTDgWrdA97S35hffKo4uYWPdobtdxnrcEwjIz8XBZAl3ayv
bYmamo1RlEPj/CS7EJ3NUpSJosOjKNlxdgaRmxZ3DXzepXn2dO3vKhb03hZZGJqXAg6FX4lf+Lf/
1yLI/39bOIPF+O+38IcS/OP7H7fw60/9toWT/8ZboqB3AhbBVJif9A0Pb5iJwhj7O9gIpM5+28Mx
2JGAMPExaRk5tesO/9sejgwEKgH4tLDVQVpGof939nAMZ/69vsEYYAds4YEPhQPUw8/6BhLwrje0
Y3tx27BOfKZlQph9NmHAt2p0biFOT9iMq1PT4uGalmg3LmgI4efLzMzRh9DVCS/CegR11aY9GaNs
8WKsbhyPa+TtolZvAgW7cCY7C5eg69ASWQd+iUfepK/SoALx5M1lDgLlvQzr06L0R1iXuY29XDm8
ThYynMaZfQF0s+VLXCWehE/uVJ3e1cO0m+L4KGueC+pvVlrnznU3IL65Cah4AvFytrSEszmxaluu
9L2d3A2mfLwCyfA3YVFAox+7ZTuRFhIDGtCEBfLgz8psomI4KursYq+Gv1Q/FEYN6ex5NocodNcT
xtHWDRtI4O6uw4c7eiGl6RrZNXN6LD1OF97GXvsV++CwXajfJBVvvMRZisepFd/aQc+Z21u0arI+
QV4VWcVpk/dmaK91kA87TCyoBqK8cZZD6as+47Z9Uv7kHLoR5Xwk7sqpHOGpxAdiHJ6EvjrF/dUR
1luq5jsgl06uV2dJls5uscZ+Iw6EDge7+Vz2XYLZwG91Te4XOTjJWIgw1a3XpUvgPa5d9db0Y2bb
zkuqCNSgV1U3YJuO9eh+k3INdvU6s4xWeslLCd2BFN4d4N6Xssbn5wt6qpWLNQ0GttMBypcBDglc
Y/0h6mbvyDazfEpYJSEPKIJ2GK1e5c4S7mTcJ6IvX4ulu58nKNUiGsDteXrLedgkY48GTi2xn1lo
Neh4VJyRrmHbTuhbIaIXnxS47lInDQHU5HbDG9HVjaqrG6jUMNc5iVK49lXGaL9C3VpoCqsem4ka
toUnzn0Z34yVH+5bR/YJl9XZrcXbWI/VZmybLtHVlM2sB6KID2rN2iSkNbuRuBdKZTqALtk1pDhO
XO9lPzxpx2yF7E+lEBsWzDG2s0qmXJo4Z4GdkqAt3Sxyzes6Vh8SBYxTz1tbDUtW92Ob9IG4Bbfy
4i/hRaD5Q1dpHqKm3Sj3MK5nZU6FAy/Vjfd87m+J31+oKXatv946Oogzs5gthVmeaA29T5QrikpU
fUENN8DpqiKFfVwkI6hU0eOX9p0/pFFAu9QycJGda76VDSrRufPCnF7hRFjLn+c6yKyIvoWQUvbC
Geu00HG8Jb2/L8noZ2vBuimhIFcTmGvz1nFmnvuzV6QiLO0mdgBTgXBJ+FyqgyiaetMZ9lX7im10
2XwVnnlFJfxlDW2dC9l2CffsZdEo7usqMOmiApVjOTJeCkeTTkfKW3XE2oMOOxpCiEcj+oa+U3u/
B8+58fQQ+E/GbaJoW7KJbDVbBjxLINKSOZwneMCazySPeofNyWioF+0YDM8BLTC80DPogUU/xG5H
1IONJ8c76lmLo/X7tnydVkbNbaOGneCKpEONjV2whm2qyodg6KJqnfi9LDyTKuABjPV6MznTvI2c
4OiHc5Wh+WOJboMvoxASXC78uK5mr/Afo7Q0pk6IuwYHT+Bmbvqoga6F8nzxxaehYO9lPdFMRXWX
wDf5Bh7GpF4JLZT1wIxc1zTofSaYPShdlkFmcwVbphmcE+unO6fQqFHFJ1PZbytQWTsvdSLJ7CZ8
8NtUevOhXPa+a7sEtvR71Yj7oEKpquhVSES6I1HKPri0PsPAuXHq5a0t6bcVCiOWf/9bYzo4tVXm
rAe6zHXGoM4UfLpvZiw9bukm85zN7bGFJeM2LZqUWbxbvu5Lz5tQdc5BOlZrn+BmPAdhs2aoNKG2
Os4dBnbQzIY+FFJYpqu7AB6fixRnYYCQMoJoFq7aesxgbWdDFsZVmK/TgmepcB5Vk6Ere6GTBDbP
6iIrnQZCWRNbHHyCvt7EO2+NCQrdNso8W/HURiC+u3mweSjszRApmkSR4dA2w9vK9ifdhl06D8Ut
nL1EdnLHtXoPYrvkkKcfltYZ87WDWlvE2ED8Wj8VWstM2/4F80cPtdPgM+r1FWBIucFTx3APrCKB
W+6gZVQfMo6fsEBv3KG9abpSJZR7O68WT6OpoCmGc2o4imfrXdDY3ce++Fxho0vwatIzc9WR+Xju
TM+KbbGSKfXdac8dgy1BWZ5QHzRT2TT72F+ixPA+rSM6bqVf2bRi8rap9AWVyAZa2LPpyG5oxjJl
Gv3OotmcN25ncry/dszipgi3DsffhqYGjtOYbe84ZBsgHLBXOKGpLNtbd0AHGIXqoHuotGMQH0I5
P7W9cPNFYBPEkrVxqpVvoZIe2z4O0sVCCJ7wpB05oZeAqDJxJGQD1bvdfqWQsA3U9WTxxgLonLdn
rLqUukYCAxKi0wNvxyKHBc63u7WjeCT86EInswIE8MCUiPlLL/iL54+3soeNwLwvc+Bu4G++ioa/
QvoOMuVV+6IbXl0R7Ty0DBb8uwfMyKMLbPH2SjjZd961Wx3Sj7hZD1xXEJrDMYmV+9Cz6yLu+Bus
9WX6H+XMBbQMvu/Pyu7/aUGbf/1D3f3Lj/1Qd6M6DjCtL8B7ozyUyf+UzigGKQO4dj1omT9rZ0ie
YioAxiyz60QQDHf5re7G6wQx4svDO8YCOJIspvTv1N2ACH5fd18tygDDQUOATHhJMFS/H33FaOZj
rKMSAZ5KDYeojdlp6udj1LcjdrXpOei6bKxVs+tF2K4fpZCjc6ehmCzjWqWAltq7uERdpBqkJjg7
CDh0qE9QTpF1AW3cEGdbtYYl8PQ2vDHlHkgb8iLYNBJAB7xMYzP2my4cWv2Aiv4tLheRONDHkhBc
EdpqKtnBzFi9/aGfyyJdoqU66LbJFlo4O+VM33jcrwCd3WK7EAHkkjQxTAxunoc4io4UYsgp8noQ
hdXDoL0SXUO34OEiUZWZyYF8b+I+Ex5807ataEID6G8TSswmnFQ+cpL6iqqNPw/nyC9NYjwRb0y7
zolTKIBKZW93k5VnImWcqn58myy/WYjNS3fJqKQnl/GjXbFkKKSkkgqARVJHUWq11HmPKwzpz1Gw
zhT/VlgRfFrW2iCw4Y9lAtISEFwpyS6e9H3ZeA9R7fZ6P3yPAlXXVBBYybS/5oTG75GhAH7jlJS6
CE3ihTB9PWKxefsFdsJC2/31FQFb3TfYf7r+stTyHLDhgBLiPLr0GClnI6Q9OF2QiRUAA7Yxt4Zk
VA1fbU/vKxW//WfxwOJxbaX/bPH45+CHf9G34yd/Wz+uGXPkAJiPtytARseK9BuXgDHO+CvK0If7
eDEdWuZfI40R9Hq8FxpcAnq94Ptf/aq9h0iNoNWO//GuOwgBv2ITl1809T+LNOLlWb9fP5AWwWSL
76MHESq5BqR/XD+cyPGaaW7FrUartZ5qOvj1GWtaTXOluvYSVqNRadf6Z38YL7qMvjBe2nyi3aMh
LaQr0t2MdHpDpOvQyv6+6qpMOVQkXl2c4KSdhhlddh/C7PUMzybZ3JSufVnr/iOuYBUJQ0GgNoG4
8/m6IR0igeXaIqpUQrdmSDS1qj4pZBNnSBzZ5JmefKYOUktgiNuN5SYie0z2mKoDbQLFt1ivGPBo
EwdI/g0eXO/CgTKRBGbYh1XYbccwPgRttLJHr1AwFIvO1jqLY16ym6mu5FttCzTFxuvoxmiDZ0fp
+hjKPqhBR/gS1dsEljqW0VTvmh4mQD5O3B3zzr+uO62dP+sAdK9t+5dw8HWqSruNTDxthyp4h74N
Q8GOsI+j1qKlEKeqcMeUSsVgR1T5uBbgDqBZiMI8Ubd4dqZ1r0Ln3qA47I3ds6XPjAN31vq3sQmW
JBoCEG8U3Xf1PjjiCHTcgY+uTzrsIVw6wy4qoetPMbk32tkD38+RATxHfPhGQVV0jt2RSh2gP+x4
Md5gMT53dD5rMX12F3kfl+2O1sET+sWs9MNdQfhtUBqZjO3w0A5rEvZV1g7u1vryflKodWe7rwP2
0oVB4sZQwyN5aEFFplHn0byOv/VE5KwNzp7VOdo/hCnXlAh5Kip5iRElmuSKQjbKBofkfVieV9Hd
IsKQxP6K2AfbyZm+rFacDK0TACRnXEv0S+gHy/JcF+IsPejk8Iu1Uofar7eIKX6iPjCySp0GT33m
Iqrz66XnIfSmCRmbjmyjYL4hRqpEx+5ZU4DSY32eAno3LvA0VufJL719W1+vsBbZ0HR7SUBLgpiM
i/EjZhK1cfsCwelJuOW9Kp1NMfg3eC/0huoOnb9Bs7yQG8vmzwYfIgXeloHQuCnMeoCsliKPcMND
grJ1Ptq53GMfBiG4TB9TSO9NPN9PSxMnBTf+HTKJ2yqw5Tko2GnxaXc7tW69h7WKDaeiwiPgAnG+
/Hm8dQP/xhLcUhpwamukk46BHbJBxl8XPp/ductY592EFb+bRxVk84A9tW3DzBvHT6pecPt5Acj/
YjuPZtk4XvEJff/JxnMJLE8/NtDiPMeDjs2UzKkANEyafki8joWpU6JlHIzT57Qkp4KxezZVE5zm
DirJjCtuaoDMg7OVDOkC1Pu7oWxgusmw3owzOalab5uCXwMrCDxgs8Xdgat11fJjLS8jANu0Z/JI
vXVKy0UiTlrdsqK58UZnSyCwdcF4HiitEjt2XwbW4WKsDvKV0mZ1seBkqeDOb6O9AOCYTaJGpriB
fF+sM0yAWqfCpXFKSx/MVDXcdFULMUg5aUfFq0JQKlloZ1KnW8+aeKe5qb4G3ghnPqK7Yuj9ZK5K
WI61uQ96+qzi4OD4MFwc3W5Anw6QquzJj8mSGIYVoHPaIY0Ro8roWOgEys24qfVyI0Zik8CrbsGB
P5lAB2lZzo888HG/I6nRg68xUXNbAPVPy7FrgLvUT7Hp+jSuyjhhvmNvVuG1x9IPmv80Dr+QhQTy
9r/X63e6A4T0Vf1x57/+3G87v4cQJ2bEBdekEd4Qju39t50f+U7Y6tj20aXgPSwo6n8lElETwIv3
r9NMMCT8uyH/j50fij2GxCJWdf2tv8w5+Bs7PzqQn5JaCFF6mER8fakAKlT47z/v+0oDJEG2xV60
e+A1EK17Ibc/nJR/FBv/9eO8BPfafPzT2Me3oBiagEYI1T5FAsmH/fBjcUGweNR1I4eLZ+MaOWbm
S1B/pUd77wI/YDTZKIK5uVtFFUTna9TqdeIhbe4i11/S0u1meqDBkEqw9mMJkrdoczwK+VrhqdGr
ly5LeymwG7fCQQIrBiEjHpQ78GQpSb6O4f1cyR3q9S4pOwQFKkUyn40HEL+3TtR8bpfm3QHDpodh
D5bndYHVmK5VecuxmEW03YclOG0yT98mHYLMrmzWjizcViOYfKcjbQJSfDeaoUl1WD/BaR09iYa+
f+WBuwehXSdYjA/j3H+0yGkmxYxNfuk+igGUQdQNIAfcGeSdnDZon25Qj9gs6icQoZbCjw7dz7Ps
Dx6Dz0FYj4KLI9ZPn6a5bBNaqZemWyQWPvtFBuywsKnfjPVw6svZZvEYeplfFX5aiOkBk7YmgAbw
1vninTreT6mS3l1rY56uRr86tbdZLdB1zL4A8UbVN1iGgHmwmyThKC69YMfQTizH7IIqaZux3gUI
ZSaAynk617rPq4EOCcFKhEZxfSFIxHm4nInQzr1vHcgntH20HRydOGrenHFiCbXDHhGE+twqi6XL
aQ7SqQBIkJElJOI3XH2BOrWJseJVnaUpm0eZxqiqihV8aDFG6Pk4OUyRnjJlwu0a+l+GCr6EXaaj
DtmXCKx8FtXVt6gLTcoZYnCjih/5GHxj0KVc6OQVBJ2UyHpXUsAFZI5SwbsLStLPpK6Rn2LKgVLd
79sKySFm1KaKELHSXm1SDGuwOXPcOPV7fdGx82S4BkzXKiiP5ZQTVj7wWY2ZCLnG1AUvbxmYJ8Mh
IgpcvziqHyjUXLTU4N5i89JAnk2qJfhW1/EnnzQCuCL14Kw3BRrVsjn1XTulmGgxpFhXnjgw/575
AxgD75a3YZiVAhEfMs+fTN3i7rGjziOL8xGG61sTFI+BgaJqUHgzYLwbM7lPDW+fZNVT8LPXXpqr
Uxc635QTvYHFZEnQQIbziIQrXwCYB4cYCLQF3tLsB4q7P7dsGovdgLMRQ+ocH31u1wQYHO7yuG2e
GoR59/4615fAs4/jSHfOOnx0YAyqZmiTVgxfEUEZFeZ18FyrqNo0Vh31VNUvjCmAcAXU4+C5j/N5
u5RLfdPB/6kc537SdYxgY92OoO06xPaMjY4OfK4MIUGRytb3kxX3L/eG7Sy8E5N+l4aTs3WAOw54
NhOoCGcpwtcy8j9gF40JlrUxYSvZdNiGTbkcIfy8O7M+WlUdOl+/cY3WBGvO/dSTHATRvSDe3hLn
HlhiFjj8Gf3Hm4z8TBD3GFt+JUEuCHOdVqk2q26QJFm+aoMEHNzJrJGqyUHbpQ0shlBOKIgiH2aG
OYehyKexaSHErxlmjNhExKBE6shBJ+PcLmp67qq4yTFM40MCj6Dj/OLID1/jTjRBuPEYMN+06OG4
oTS1FaRYvThO7polfA65mbfjONG05jNN/WhQw7nxvNdOMOcBkdw8ND2Cg219LSIbwYYl6cB5b9Ui
pjRqUTRHXvfcjHIDFurV2vYZetKb24FFcLW/XrDhjZupHd9HSvbl5H2di+gW8b1z3Mb8CnpWid8g
i4euMkKJhfEu3dqhCkdi7sS78qHi/HNNJye1jW6P07qE+dApsDy9u6RMlW89xVW05WNViTqLPeeg
jXzVSLo8oJPtNoUDdhjqsgRAir0H8SmsAdppg0zqAV6WipzHoPaWbFlim/MJbAaecvlSxFJnTIXd
Dk9zlI0txsUExuwMUXZbUGD1XieWre3dMjXtEINMaSo87JW/s21MdrIxiHqpe8lKVNhkWxtmEuEU
AIM84GUBeRx88TqR+YH7U7CPmX4VMdBvxtfi/Ofb7s+K4PdNF2/iBIURAAUIAQv8vOkGrR7gxo/6
IiKbB+S2jh4DfGofeGnNXv78WD9XEddjgQtEUJ1cNYmYhNchCD8E8zG9ZFbXcvoSFXnRPI8LBrU8
/98d4voRfjgEgu5ta3VrLwMeTBBqSWk+seHh/+AgSIMjChegxrrqtT8eRMK6mOve2os3PY7iZnbA
zez//BB/vCw4VT8c4neQIybSRJyw2V5Y9NCNm7VTOaqQPnyvl7840lWy+bnq+vlI10/ywxlrS+N3
gcKXGReMyOnRMNCD7k7W5KY7rN2a/PkXu37w3x8OIxMgakMIB9rwOwVJ8XpeJ0UsmOJXopCJDx55
eVy61++H+Q8b5OKE/vteI/to/+uMQWcff2w2rj/4Q7Pho5FwAQj94lT81Gxg/BYinVAM8QIxhiL9
12YDwSjXxVP8/T2C7vfpYL82G8CNImiQ8Bbw5tcQfNzfkRl/XiauUirxkbOCkQKHArby70wKVeha
tmtPUUfOO7epbkLepJ5Z8h/OzL9oOLCM/fFexBB2N8a4N8wJwSyBn299TBBowN409uKj2d0rBFZZ
7q/60EGWTATlDdLTIZB2JW7jRd+MzfAU0gn+LkjM1CKHnzcTaY5m8uMMLgGGaSyqShwfHUVhp1cr
hyHtohL6/DW1VMr2YcABUzq0F+FWPcxSWLfRSMcsQu409RC4QSImOo7dnKIDAjaJiGcW+wGSPk2/
KQKzweQdlWmUT5lsZtT87MWJwhM2CMz2It5ryVqRmtl/wESLe6ebz47jn1XlGigiSAFg/sweidSz
LTqedzF5KnjUJi43JqNlBf/BqDsEWzfAMF7iaPqgPPzEu+VtWiEvNVAIMwyKuPhTcQwQ2txAlN4F
cTFtZTnhCk3Tkwj4rooYT9uyPCIl97m3ZbMxnTtkgVkQexHzkDn6Gr1hot8QtX4iHVSRldW3LJo2
0XW0mzN42Rg0n3RInibJT2LGvC5Blvtw1Fs/pjsecAf5LkwbsAy0ByKcSIBR/8FZAAF1aozSMP4U
qy53vTnTI2AlqRkQBjDJEfpvXL9624T6WwQRNIHmdXKM9vcgtftrh5mScDlTKJDzIlliIZtsGtJe
kDCuN+CwtmvHTpwXPFGEbWODc1vaBgZx4JtsGONPPRJcoCDvRb8umbfK5yoAhcuRNk081T5Iq/fE
bwzUafeLi7GDCbfLcwtwA7Mg1ls6A6OVZW0QjJ2+kpZ+pbbFFBGQbKKN9+DsSdpYu0UO767D6JA5
FMFN6K0gg9r+y1oPr2Uoy7QLxGNgwBiwMWx2VntbhM9S6hUbxGyQe8UtBrSX2TInczm+97Xg02aN
HLWAUpon0B8QqDCgj04csWNAK5kb2g2J7DVTM82HtvXBlS4kda8z0Jj31YIFqnyyMauYgMM2g3lu
fO+a/LEgSRK/8v1Mz6TKmpruPeBZBCE65SJ0GI3vRVDdk8b5QKUC1CqWdwJ3I7Je5nHmUoEjtpmw
Ddk7nY/UmjU3EVi27Fq8+RXmrhlpqqsFaN+COpT5zIcTr9wilcO8A3uNoLm8GeomM0oCB1SvmKMC
SyCuU1O7yOOLUxPgkfX65gKg/tg6zn5tEdIreVnm67wgTmkg1llMR6ktVL9Zk3tMfkCvoD6aldt0
huHQB8OrnXLA/nvQPhgB4OyWIHyfa/fT6sOyD1vEvpf2U8sejJXIoOnDgMF5rYPBd+iv6ca9RgwZ
5tlh3ov12M6gm5tIibzfOpitF9Zq4xLoIdywTz0jGMMgbFY4E3A2O2w16W8XYd8gSyINt7Bnpdzo
NDiYNPKI+Tgpj9hU7DCpEX3YXyyjP7Oc16oO2wULXKxDQErJ77UhKSUGzi3BcrFLGiZsWxzmB3Ha
1ypx3vuXIW/2KMiT4giOSmf11vuL+uWPBQUOD8TV8xFJvb51/OdFfCq0b5xArxcTwi/Zxy7k3vmT
I7q/Xbjge7q/DAgFV+n+rk6KFfasCoH/C6luMGwraduPmO/h6v7FcX7e/X45nTif2AMJZreh7fv5
+4wjgw1ESvcS+McpuB0woLL8q0Kc/atr9uOX+d1BdOm6kjbXk7aRz0gQ5Gbnfo0wyDARJ4jCPLmf
cpg9G7p7OkdZm5zNqdo8y7zI7+qDTXZTNt2oDP9jJjb4N3/+i3vqj+UvRQAJ5LIHKTQGkvzzSWgx
tIj0i0suCBufizs3d0/khR8w58dJdbYkhzeyndPzuLE730+7IwjBO6QwNzZp/yNa/yMOj3vi3xeS
/9MOVf/xL6pI/NSvVSSGKePthB7eRgaE+wq1/FBFfo+Q+fgHcG6M5/O3KhJBsRgjXjwXcjZsZBja
/4Rdov/20IaiakA59kvt+Tcka/KHwV0IqVGUpN5VS2YYQHct/37obPgEkrP2ovbWIeMbrxQmi+j2
M1n8fUu6PqmDNZUIEYU+wEATblaP38TLeLZRd63funHfVZCCNQcQF2q64b67cYX3YCtD8yhEBN3w
5cZVBfScq9JE1HMVIX3akvam9KEnGWfatY187wJon5qwr5g+C0HJ6TgGqM7HOTJfG02QtWhAjqBb
yoPF+AlZ+jV3IUJkU+fPGYZYqDTUsU7Z4gapEv2y6cVyoQs2VCCooEJ9WEtcvXoYSZZhushX4QYH
rJhDBiV5wH4hG4SyvcQvMcGtD+MLqscXU6wIbUfYn8sSQ0fbUOGPQV2lKx9o0nW8SMJi73G1WUIB
kg3zPSDBzs9ryU8q7I8DMPUS3wlBoAoLBaX3tsIGy3mXNz09FYQ+FpgoCnBGd4hbYRSqkgYjzxon
Shjzdp2HarCIhpcIYHkauAvXcO7MWPEHRevhE4bqPC8rs0cVSayBGKTbEovJWeP0aeaYnNI3226w
QcK0D1nEAiLSXkGTsohOJafP3ojEiq6g2wcsyBusdBn1V56vMSxYPsVQhYS+95zyq98WYosBPinB
WJ6jCN7V/I7ZRRs2BO9y8cRWT0jQa4T1psF24jkmZf/Quu3QfFR8/Qrz9X71EAz7X/bOZDlyI+2y
r9IvABlGB7CNeWKQwZncwEgmiXlyzHj6Pk79qcpSS7+Zei0rM22yyGQyAPdvuPdct6tK9poy8rw3
TNDngN5qryMY3DHzKK9NGfjXdh40h8kPlraPFGhwxa6ViF9RpcbLyPans5XMzMziEt086LOnoRhW
bsxQ0BrLT3Ao5g59oV9DgPCi/+nL/22YdaZMf3/Ogbbrmre/OOf4qp/nHLAQ16eygWsKUtG2uIz+
WM2Zv2FB1RmcYUT9luf97JYtn6UduFZCOplyUC7wVT9FORyBnEqoASHk/K7y+QfnHCxxzrH/jFQc
lmYuale1GeRH8Dj1/vucG4cgRLYd2NfpXLnTnrF7br1Dqm6Da5BEVp4D/9BMKmHl2+6iu8kOUfui
A1sVZqdjoUD8wuAsXXd+a68Yfus7fVDy5BFJdNeXb8Y0h0sM+G9z3Yyr3AIhKhvB/jyECBUkN0kN
hycMGFHldEy9BwvIm2YYAj6UEY64AFxe2isDTr+OZJutIsHgvmAuarjxU2+IS2wVW5HlclmOq6Kf
WZlxWvd6DjE6KS/U2I+lKPcNk/lFnNGimXh0lj50IugC85ufyIsQtc4m1hT438wbU2+zq86eyw0A
sGJlBrQLcVN/WUH41iWcqLnmrtvpcxhNZwV/cN1rVrjK8uJqNO2nqgjxEnlDtbMbiIvSGqplWhkU
GSXH1+z5cmn049Ga42Rtyvmz84JNV/ZHwx+2hotGsCq3jdWsJbsGaA9o8DkulrK3Plus7oggMIDo
C8gtpwIr/OwMLrdMwJjAZTuPXd5Tvvksq3Y5RvqxTO4zjPVtW1wAox8jDPcQh+BWOfml5yPtlCdf
H2NZbFvN8DaeqA6Gk78XaJ+XEGNPyJtOUOSKpQ3vQhy4yuUFvX0VvCYyC811Y5VhcdHmdqq2OWUX
7txUf0aWiJCCHvLDdCzgEYC7Y7P78JtoA41e6dP547gbPiGBNMukwWOS9+OunaKzXQTeWkPYv6nb
6GvQMP4n3vRCC3HfzuPF6I1XWKNgweeXGFHHUjiNtXZD+0dsjodBD6fXLKoxLrUVdE+rwIwIWdLR
sWA68gJia+dKTzt1bn0/xfyzWIbipw6962BsEKlGM5ZGms2oBbCQCn/diknfze6XkZQ2wDg05S20
sLyyzVUGvS4NfWvraDEwSrCeleFw8fboTsroI0zreZl107zxBuUDmcKtqTUv8VDuSl6bJUrvEdkN
PmC3mXG6ct0aTJLGwQ6WntRupkB7llhmRGUZcBiSByeIQth/povTGZ8pMFFYV7vMTV0cxOWhQDDG
7hnee+050OLTryZqr6vcfusbACAZHtd0Ss64546V4ueL0j+yunEXpsVuMMEgKtUYJ2n7YVuPILLa
yDIWpk8aWuq9zOyKkObt9SZ8sVKrups1wdwi8gCIms6Dq0V3I7Z13R+e68iO91Xk7+exPjIkqo5B
2TwLWCOAd+80IdhaetcanXqki8/Kns95LndpybM5i2leVQbKFCikt30PqwNwG+r0rUwif52O+Jd4
e8Rr0zf7yEy628DrEdcU2QYezlG0Tfp7h/rv1aYq7v/lanvL3vpP+db8xe3GF/5xu1GqqzAUFOaW
zn8Ygv5xu+m/kS0O0OE7DeNPklNWRQhOBcW9Uqz+UsW7v3GCMFalJ1A0cubO/+B2A0n+59vN45r0
of+gkUfi+uchbRGS05D1Hn40PQt3XDPbKOQU5lBmbd9Py6Ezm9PYmeXW0lk9+mN3UyQ2NKQif5e2
Wa4ardlhqHbWvkV4RDgIi81WVC/hMM3Y3AdzFbHnQ7ggsFAOY35Th/5T5CAS66VlLUd9PoKPPEnH
3nklBkBHi7b1VD0FXlgu59q7wuVD/Vem/a7L2kOYJ8xKbecwezEeMtu9Eqb9EDpowdvYu/ikdqwK
GV9aXb6xJuF0c0JcLk6FiCsK4ZeiPkj7+UoU7tMYgLk0WLj6WfkkRvIqUkSBbnavOflVywW1hGj4
UEgUe5oBmTYYju5s3xZFsjFC7cWMx2VYh5tWhz/QyOpUueUz8RVnK8oRzjrjllExXidhv7WZ1yyK
MeM8cNt1LGbcrGOWrSw5CsyR9bT2vKJb9z0eniBBQ8jNCSmXVIwIwRyIgvOQ4WkP58HYstncJKKG
vNCTb5AaxVIz5xsrEB9mW92n3bQZPJg6VljcjLbYTFG+j6FcLgK3uRGd+xDVQYh0ZHoWyqcZDw5O
JcNOl1kRlxsrnhrqFnfbyvkix8LdkAJxGI3sM1JDamxSDyKSKCQzE5th6V8nvWues8DdjV54V5/t
aC/AXehIAMTEypeoqE3s9jQRNQTDdkbrabX9VnbecyQwmHY1goesjLe0jMUizcuP1BXlKmkp3M3a
2GQefEI1xmynXYwiiN4peZfS+kTk9Al8LdyFtX1mYr0f+xqlkd7na9x69qPlpGBsJ4+FfhAvy6JG
NyD2mWMATI020gthJcDSXU8jq3czFNPW+24xCqdr10OvXeJq+OHP6aDcVTgndMATc203GCnqg63V
5pJJ0s4XCnhgBigLPddb2ba3MxXPgiHtG5TX+1hHDtEwKVcuDR5dniP/CSukhToQMgZ3e72O/RDT
ldvhAoFkCLUJlgYVDWolJ7v1kWkLMyDBBfAG3ikkqo2xyBWTIwvZkLhuhrAEBcTGUuwOwZu+0RTP
QwcXeZzM4hKA+rBCmB8t8A9PUUBG2L37impvEbGYXGozCAcb6ESoz3hteVMSRRRBlHETgBiJckan
laKOCPAjGQEzLTiSprzEto2QGVKJ5+XBfhTleVRZLj00E98sf9hNBk4Dzklu59XaTZt0pY1auqoU
DmVwUFrYtROuolnbQqtI5lcccD96eUqSfQNTJS7rieqXx6DPg7dJgVfMqb4KFIqlgMlCqsquMCIN
60z0qIXpZ9rxypgYv9YVRJfGZ76gEC8+qxolor2HAf7lKw5MOPLcWQoNUxbh2kZnwUoE7kQf1sVJ
M0fnygAqo8V5fR57mLqeIs64/hysRkWh6YKgXIYSzVg09Fe9TD2IKQy8Mz++iyRPs2OHzOwz3O52
wCcOaRde/TRfyqAS+HioGJq8n5cVeByrlh0wN16saK4RFvVQdDCTBJt+apNVWbf2TlkqFXMnBUxN
E15fcts6ZmB59EC/DxT1wTD7Q6A4EGhURryKpZTJdTUa8jn9VsiLb7V8g26++11B/62mj5WwvlYS
e+9bbf99Ff5bE+jMk/+XmgCk3Hem3l8SJNTX/lEWGOSDEDDP3Y9cA8nnL2WB+RtGNda8/8Fg/s+K
mOGeAbISFCaTN935r6bX/c01cHD4GFT+P5peBe/8U9PrI3ilHCAWg/+psuXX4Z6fu7PPpq2/zvoY
MvxS1qV+yEbDPhTAKJGoivxhSkJO11E7eQXvWOLk9KCYyKNCo+ttE5ZL7TH1xrteH09TADCpioS/
ABoL/Teegaq3j0M+nd3c2jux4JUMykWt5lHjSEmP0nBkSBjPnCk5qyjacCT3Ls5zyoYvizie5fBt
qIrTaQlh1lzLVKtpH/GbJ4lHN4bGhnbqZRKwVJrMntZQ4vKVLqt7W0DDsTsN0RWjKauadTypLfqf
ul/KInhCRLRqTQHdqWnQbQ7voksXSVDnK/b+HxBcYtRd8bOoWVQIV+wttIpdDcQQTPmzCO2t52Kj
CAZrE9GnwLbId6bonVWP27QZMQFOdi+he4/vUxm85+1IihlrVG72l1j342Vup1tEMHvQiWxxx4F9
QA92DpfIj1C3gfIZxXNVooSnS7FWQdd+isCcz006vcWVExwZJpCTgBmBJZtY45g1bk3InSsbyv4y
VjzmkoZyOwzp0XDqniOAWgz6nWw3aps1227M4eWWSOMt9GdA99dexEkU+niYO7NoribdG1cpjdzG
A+i0CjJtWrZAXRd4iiKgmSQBTHocrAu9iY/cgtnW84f2znT6+RGYV7QqdejZaZPpV6COmA4PafpS
SrA7oAbFM3dmfttIo76JhBnvPUOOp9oPOMkn3NXQrSUUSNtOTsFQVAruPp46OWfmgvis4H30Ys2D
RqzV+8LULykpYusoGqoHfeIXvw08U7xquEe+bEgmLOoxDQ7t1K1hCSynHHpYo6yFvTIZNhJsOq7D
lq5rxIVY40ZscCXqyp6o1d1ZKsNioKyLrt7D81F2RlcZG20cjrayOtYkeiXf5kdckKQChItUGSML
ZZEUyiw526mBUBHRp6uslOW3q5IkNfd3myWGy1JZL4GD9o8+2QJ7wdRtESmLpuZh1mxwbY7Kvgl6
fjUqQ+e/h/m3qVAtM//+ML//jN7yv5hdqq/65RhnbEkfIVSXhtznl2NcgYDY3bBiZIGD0OaPHQ3e
AQyIbGcw+v3uRvjP7NJnFspWUv+OV/oehv6D7o7D58/HOGxjx1B/F2GJ4ruP/PUYLzKcDRk/xnXv
R2mzgm9Mq6TvEoUh7eCRGi2tnKPIAQH00FFBS0uFLzXgmLZMd5YVSJ9NmEz3nlbW2y7J8b0b8HJL
QZ0NETX8ZqPO35xUIRCYryzoqQ0usFsKlmErpAhOkT2JfTKizK1Na1m5vbxyTOyETmhCFHON9zZo
vnSOsV01FGf5TXAVJYMKUBC3E3RX8APiUivga5iCftWzAtCvJwCHKjBs2KFkn3zmnTk/lTemmyTs
tJ2hgLKJQst6MGaNwhy7VdMHMZiBpN+JBolJqLC0rUU8QKpQtYGZlMgPwNe2CmTrGpmxqPjr5zgr
FpIpMX8L65jZ8lWDrAAJ1nCVucF1UkaHsTDZN1DKtYVJv2fVRxEGLHxblk59kNyWTqOclcde0wEU
CytBSF9P21n5hmQnwZXAWZCRCNa6pz1Uc3PnS4kHS/f2Tj3fyCFF7iL8J6t2P0pZnmtKCIzV0YGy
4MZpg/uwpwoduCv61P+SFeuRzr9i4tWsTBKolkaBV6LKyudkyA6iiF/GpG2Wk699jaGHjL71N1jL
X53C/6wKl9QL4gOWSdF6aC/4tQAWxkiGZuMUxwxUEfXGr1TbN96UPKY6PgW2N8iOCgKvNI76dY4+
BwZb8yR6SkwB8IdhwToN445tWhwxVawfS8tPN7mOJmn0RLhq9PG+VPDebwpM3LP2KWbGu4IoRRwD
3U2lsDEIZZK1hCRjV+1zD1kGA4W9CSzjR6WgM5HCzxTsqgIFpAmxhG6EgtQwWyd4g8d12+k6sqRv
mk2swDaVbe01hboJPbiCllfyIsDBmShlbLg4lgLkoN1210ZCD9OJ5os7BwmzPiFj9/RqSQRDtoln
dyGigDxE2FVATnhHANuTsKLwPAFrSEsBewbIPWEPwoep4LUF08eE7RPB+BGpt9dg/nTmnvIgGK58
vmdjt3eVwgMJOEFpLp5cP4ckDXtisJJpFcAUSg00QooxVLTProIOoQGWIPgqf924DNJLv/Vxyheb
Mq2uTLPbNlr+0EAxSuvw1OZVvjPgG8UmG094R3Y3pAtXIZDkOF7nmYkdUs9eInBJjoBLIPTB3Se1
ezL9/Mz8eJspxhLMR3NZpunMqAMCUxjBYgLIFO878EwmmCYDXFOmuE0evsEFIMAH23WeOtlcm4rx
RLaGvxoV98mJKG6kYkGRPIU8sGu3IaZS9hvzuNRARw0ieJoVS6quUIbM4KVmxZkC1DGiU8tWyJD2
wSw/a8WlMmfVgSJo0xWzKsJSvfD5tS57gFa01Jd2UMxvxbqCRGyv0l6KXQoIC/Hk0QaMFSvPzKhY
WRnQLB141gxEKwBhtZSKq1W3MEJTUFsOyC2DsQ1Io+JiKhqXAZZL+N0Wr+oE3ApBNuzuiwThFYDy
6qPmSv9me1XegWS4mro2v2SowEY31g4RQLBYkcH0lkIYVFgfZtCx2KUsE/TXS1EMKf4VDBazjqNB
0cacgM2OJrMvFOz3dcU6ejIwLTE0wHMRJT9k5VyHJfwyXZHMbMU0KxTdbAi1edcCPHMVkmWu58uk
WGhaD9Qm9cO7EX9Xp3Bp7KN9P+/Z28oDy7qIW4BpWq0oa9YgYBQLQkRJJ33OQbEh9XxjlRVvR0Vp
84b+LLr8gdrvxIycLzWpLnt7A5QT6rF3jCu5S5oA1D0PEahX9mUOWLjJNT5mMHFOyJk9YsIWtNS1
IT+hfhHqUr/NAKhcRZprJtb3oOdKXEhBiuuJnR0KeH3nAqnTWbLbareLTI6Tu8LfAgPIUWQ70j/u
iaq9mm3nM205KGNLKNKiu+PlhrYIIA/jqlyMjX8tfQg2JhC9jOd24WX4T/Bg4T9gpM+LdpFOz8LA
ncsty/Y37k65LuOIKhUCB0JJS1x7nubheXHMrWzkc5wad7gbsmU5+w+G274kKcwu9tvjomH7hmSg
gjk7GuDvvHcr8Gh7fAmWtXyXSV0ybip/NAHefJ8F2KqILNzYKnMlgAvAnXc12PwZISXH1of73bJw
sbCjr/28+4ElCGOXW/+wouIae1OzDMBkLts+uDIqQV8UTtHGL3GY45iyGUd2mXrLavQEzjlydd4y
xC0gr0tK1XA3QdZYu5yT2KLYQRZ3UzlH21hLXlO3+mD5Brsqz7dBkG6pI/gMgv7OcCpjWfe1e5g1
d1+1gHk5xBlBUhpBop0nCGZGc+3P9iqc8q9UT0sM68P16JLz2mjhSbfAlftt9eVpzHAwPb4MJQZ1
rc5RNBXiLY0wHVWh9qzXXXCRXnHFaU4+0JXdR9soth2NvRMQI71N/fpcZlkZiYWM9RCZBm4YFCKG
X0enf+vo7zpaifX+vo5eZ/9nVUq42H+xKOELf5bSyJ1UNQweAg7HnyYikDORq6FbMgGQfVfZPyci
PkU28ZA+Q34dybxab/xHBoB20qb6gXTMjP2fLUrsb9fJf8kAPL4PKkydk0SRhNQi5Re5Ux0Go6MZ
PVxsu3wcFBi3h5CrIbVauEkjb4gPBJ+LMPjZoTIBO5lRCrpYZLycy6vR+uIwh2R9kJYqkfXaT0xE
3ZVkc7usDJP33CYeI1dBXwjAcYTaXUm0t98v6wbgbwL5l4A0piSjFzEdcR98nHsoaIuNUOw/F3Iw
SopwJ2EJt/H4FAwsH/ukupNlBJFZi/2doYcfBSTi0dKPZD+cYSPQsCpYsS4TYzM5uMwqSMbZEG8n
hTbmaDoyTH8JWvPQiqohgK2707mNNtg2KRkHvHtidN4Fk5dd22KMk4S9cXaMn6IUn4BJkxWREJTd
UJf90XouzLI4VB2kEiJz38w+ukQK1cyP+eEXlDYO6QFWr1gFoiwfRxbCa2SWFDmIiBwUQxD+N2EJ
CT9g8Ds7+afIjPWo1EVlVm1t9EauHCgS0nDHGIWA6d6h6Bvw7iWxJtadNl7DKoRJiYYpRsvUK1ET
2rYS7JvHoaokTwnapwy0hyXa11yJomolj+qYS81KMOXp06MHQcO7GRtmAVU7zrQhyH/9U6RVX3MX
OdB7+4Tg7Y48Pi50jIzZuM1j1lV1nPj7qp6ii5WaD7D8wSgTGrgzQZTOcERfZt1dVFgF/e6+E1l4
RpVQHWYcfYRFaekO29p6SPRbgzE9gmqPtQP7mkWqx49qj0MsRectLI3ZsRW6rM1FNa6ckixMTStv
wgRmmmi4xYR+T7AkzUICfLzDBJKJg90V/IqZj1FVPlVO/MO18lOgJfCTYTAS7tLm4Eu6NztvmNbb
1otmZq9YCVDUhe528u2S8V6yM3W2QG4JlLCbN5ppUanN3mYqoE0mLgD09CQCl0BSooGhiNzlc/Gl
ZyUlTueJhXAmEh5SMvN6LfkwhPbswH+dovE2A8gx9do9y8HXFmkwhgh/UXfasR7lWbeCh7FIjtNA
d1oH5mOYo2qIZHAfjO4RbgYmRDO0N1aFRj/1/HNh2i+BOzzgPpsXWZglkAmxDxB8+N7Y/u0gk3NY
yY0ZABjx3P56MOxba+LfkgfxRTbGHkbZkq76EAJt78RwrDTnPZzaR2XNCAuH9BrnOornnSXzRaXH
LCyb6dnpPG+bhFq+SGN0KhxzqAdrjSGlitgIxp6hYiyfZZMfLL+/Si1zH+nzY1cQB9OTlrasrWFf
SUdFtJYE42jZLekx72R++js3zehLhbdV6WBr8iC8ddCWMEAi0opwC+9mmz1iUuUJkXsAbxuw3iZ1
qjpxOaVgwKR2f1N2uC1MiGKbrp8uoT6ht0AWovMr4Ey6WJO4Sjr/wxFodSpXPJjCvrJsSKFWx+Cg
nyrGeuqIk7Q8fajfmX6xyVywG2bV5IuGqCLfcLJdzvrLyFrWmXkrloLnrZvDO0O3390cZU5oelf4
sAPIsJq2wat0a4AUIqYnNQjLc99NkhjXBqMNqL7VerLITMxj01YamA1owy/ZzsFdUs802NK4L+K+
QB3qxh9VpJ0FqW/QRzkj4vhpiHrKumiXO97XjNx/3bLhJapGJzqopkCJG0dDQ9XM+VNOJlN4NZsh
dbjoIeYYztHx5L2vON1SEbvJy30FuOKzWe0tAG7zcwAoZuH2zbtotXo5d/LGjrNzBArcAgk+ggY3
FCPcKuQhm016UzvDd+1cQIJf4WBnsqwI4wmocQ/kuA6+gTkBFHJnYB/Ndu/eAlAOr+hA7uJjosjl
Kepffpr52YcM2tTTY+4Ml2pIbnge+CWAP8/BoM8Ok9w2pEHt9QK+IXvl0W/vCuDpBphk8luPtj4+
FCbjdtu5EcDWK98umD7zVisOu5sJLCiKzQ7XySRUBl57oZstbnAQsnG1A9e5k4rt7gJ5DxOBMFVx
32H4skT8ZsFXyX5WdHgtJWvxmxevyPEEY5l74mzilZ/BlS8VYT7VJfI5RZ0PRyxRikP/b1X2e1VG
hfL3VdlGMhP4q5KMr/qjJEMxLoCb4D1ETanbVGu/alfQIlF1/cSf/KHMdH+jAUR8aXxbFb+rtZ8l
mQOJEdGK67gEa2PC+Ecxbu7/q8xU2y4fQotrOAhpvnFqv5RkaU7I1dgG7hll2iFs6764agdzEssk
76uKfNS4m7fMHBrSbvNwfCx9BREs/UL1RUn0MlrNHQGv0ypqChrPttsy3l/hOcKFpRcmM/kMhLKf
vIN4gFBeOPF60gAwFGQvgodnLpNpL+WQ3xLb9jR0pZFeWnLT7ojU2vnDiBocEjnAaTbrsXZmxOgN
kIhrIsK08GWi7bkJgigWN1HGfMcpPIxlNupFayFQupQrJ8j14l6QMrwJOKeGdTMaQXtda00UP3Zc
xCQ4p8NTavoRIXVpuYNwlExcwfKKONrD0Dm3TmgzJ3KLR33O7jubeUkZVR+mks6IqGPzBHZStgnn
mfUeqVhOqdk06yZqmPGxA3iwtCgItV5baTlHQKgUI3ZVGStvGthjF669Zk6opikenriUHb5zl3oD
bWWF8FOLf5i+e5939qduJ/G6yfmlOF57cS1a0BDFxm7g+8O+rdLXySJHNB3inT7jR6uVrTDPvPs6
M8wNGOuChQn8jzExdxFi+qLv5SofYsAmWPqdnEkNgawzARwpgCvGJBwc08GqzEsA8ms5WxEbF9vc
lSmmOtNLh6U/jeZ+6g0MkZ3+Q2cE5XVNTpyyE6DGaLZ54b+FUXkUvnsEYqYC7kngAnp7RxMKY4MU
1DHQfjj+vMn0cY9i/xxKAewrkKtKglLPC7U/CqqvttQggseM1jot/xgif2SNVTzzSIP99Xt3J1Tp
z+N1sQ34G61Xnlsn0agbgxvyoWHxEbfBVO02qDT0B9yoC32UDIOcvlnyvEGCK587QA0LaNWHlk+w
bboNbTkDGAcRltDrcj0X9j7vp+uxdp6Mpj37bXyftNAAY715zMPoVsXFovPotkYotD2HNhTeSN5O
bnBPiNhlrqFmDAa7PmCc4cKP42llyOCmC+bdlAUaO1DtQ9ZatNLtKt1ODpfUbPgZAjIGmqHTsBPV
7RXpuPOhrNzrhIDjTelBfKm6wlrmfdYuans4IWj6ATj0EHceFo0mvhJJxapUd4+gNo2t7sM4nxBG
G7wAK9tI3qReDZvJb699aT/3WqQvedX7RTLleO076wvM97xIq/K2myvogS6CYMhsrquCxAvmgm3a
P5jDXOw0m6czUCVdk8Wf2WTOXI7uszM4dyZ+zX1fApnIpLmnTbRWluedop4QQmFjiNVz294MdXId
hwK/SnqbZ/0ZNKOGwdUl/Chhl5H7N2ZY1BuR0U8M1YALV45qOijuB4PFsy71r8C0X3Ur+wCJqeDP
3PNhSz+hmZ92oz02iesv8zx/zIfWXJs+jFcw++Dn8pdyso+OVk5OrwSzQF5dexQXS6HTUWaD65ii
+t0aoPSYDg4HlS3UOfWV0MZ2Pad0V/38Li3zpfZ8a+fr6G4r372Zu75YeW2EskkSIojEkVlsNH0Q
T9IAemzvoqIFTFTp2W7SyTXo3DThrLVeK2HftTnpzQOZrRujC4aV7NC8J1VVkFajn3vEVmscrJ/9
PPmrwqGyTMx+1TNX3aVpAT1Fsxlugc9e5Dod22APH9iI86XRYG/Rg8E5x6MTE2Bej9i7QQRaZn07
FBQwk4fEziA5OI2Lkc8pZh4JYyR2GJlPSVSB1Rn2Ux685gWw8hwA3tp0mX6OFk9rJZMP4RZ0YUEy
r50i2IS2Ne1EIet9WdmbFD3eKnJFtvE8Gj/Ow3lbJPWrBBhTwLQJh2BbUrJfIo1sdqeMfUJgBh1q
dO5vRq1A8k241gUGHTPX2tgT/H1CToCIME+8LX0yoVEsFZYBzMBD1HU/GEiz1ADtdDABaC4d5FOI
fMNiFxXF/DAPOZ/NMGkbB7nkQqO4X4Tkay+ctt8TGI3T2PDQWDtkFmf+IfDnIyjuHFA2/U2QzheC
fhnYu/BaXHGaGzq9qEOcSP1/U3XRfWFisgYRk20qqJ6LLtLkMrHaD1Ej9iAfw9uOHmb9yUCNQUbQ
SGpCdNPG5k0RzPoqLeN+W1XzEa/EiZSpFXrvmx6FwNoicALbAO127Mqz7yQfHnrSrAkYSLg+barQ
HCK6HCJ9vGnNzhyLLQwh4PfDo9Glb2Wq3WQyvkuJlFoCPhPrRBpM8OzqM0OKHua6vWktGyNFDP2/
I6WS0Av9pYrpvvouPgd+h9bR0PvVUEsSDIL0WHgYM5IxCR/rKFshj3oRNFMLk1fXzfIvmbcvjsWk
PWrP1bfzu80/Asf010S4s1jIs0egInANYnzdJkD7Wa/0FUwahqpOQJJUesxQkyxt7lQWrhxghvE5
es3O7YKTx05hq8fTAQeBv6pTbZE4xVM+yTNbRdYuU54TYWUv+UAPdWMcnSz/oVXe1zDSPgomKEWt
7YIm+QR0sGm6st02RM43FX/KXPRRT/TTHB7zhF6lY97apG9+l7yTU62AkDr5h+6eYFb11HjhshHy
MDcDnVvKx5PTqSeMfsaZ5zkGvrPBWvpp4dRbgHy4i5OQ/zMHOCD5UyxZmNqYqBDVevGWyu2VCmwf
j0CsqXTw54vD7JT5sqvia1F7i8AfngyLbw6XFoFPckyZWm2tvIVrS1yYG+A+QIbHehEpYvFoWFx4
fhFunchAQ+NZZ1z0D3JgBVA1mLw0ht9V7J9gWUOMQCLbadgq3MSBI2fnW9Id6UtJkxHGkC/oLrwF
MpNwQyQts58ZmAEK5ru8r/mneQVeGupOJv0xAhpLVQ9y71rRYZiSr8hw4k04eNeTkWzLedv48HG9
rYQGa4wnT0vvo4yUBhQq+VL3nG2S9GyoXQoZa363vGEjhvDdE2SvmCR4aIFOUk5VvxE3phLpB+b4
ld7LI6/PfTgxVqN/ezQqllECEVDDrnhnhYBgycHtiT4IPKu6FELmhH4VsEjXzLcN7Snqy1JfkvLW
yAN8g0Flvgy912/KrNemy8SnU+hOrK3sAKd8SDBHvPL89FCSuLYYU9hY9Jzb2Q9p6Etto7kJjqZU
GzaxXa7sPO1WQV8+kzQ5rwuvr+n/Q4Nw9+TBksXdQCrKBuf6V53IJzsGQJ5TeGlB3G4IFtpHrv0G
gPyG6AqMGC72nShu8yV1F0vy1EYKNfQGqTrlyHUCCyzVudgarjQ+P/XZUZt3Pk4aPzrVEptkVtmr
sXXPfRtf+517UrK2BRE8b4Y/Mfe3T+wUqG7K6p27BXgtWzRiN8Ctxfah7fRPlhLFdk50xNg9OSF9
d4NcHZp6hGWFVmJBXTOsRFD8kATBWODCl4QAz5u6ESe7zm7NtF8XLcpyJy+HHefuyR9AQkzwrPCc
NLuu541OTP5Ch5VRamfNomFtA1tXLMgg3lYm1a5vpK9pHS/t6DqtkJs502IYkcZJvJa+158JriEW
qGqvcyf5QY4z9nADff4Un8tQPzuYKrOiP9vmtWBUp831SkotPPR6+ZQO4b6N4pfWbR8qv8QuNOtr
QuBH4d5BgFhS956n2nyNK8jojcbJmId7aF/znt3PKz/gQ6Rae5dacB21FYKuXHu187J/ymciM8o6
OY4scVFXJCUCqhm6ERthyFvPVa/DaEgvw1C8pZWH5r9peRL8l8wpiYKPnvKBGei/Df3vDT02779v
6LfZZ1H8xYqFL/rZz5vGb56DlvP3rIPvzvyPft7EN06kAj5Hx1FypT/USjgtKWjxSv3csfBHP/t5
Hy6RSW4C/4GmoBws/0CtZAi+03+LTm2H2gYpFYIl2/42xPy6YimmxkWk4/nIAiR5vo4xV4g9/y97
Z7Jct7Fm61e5UXM4kGgSwI2oye43d8dGbCcIUqLQ9z2e/n5J27Is67iua+wzc5ygSG4CmX+z1reU
e87U8tBY22HW+C/MLOsbxKJ47TJlu5vx38nYO9a5l3BdJG8Jg8aJYqE32mAzWRaTpdJMR+U0nPf5
aFbrrvduaFO/kgAcgSIEi90ZrGYNMDLoF+xqqxPb6xLfO5baTovSN7smL9qJi2MQDzeJSvyVbb2i
39s5Oqtl2l1Iv6SreIXGPGzaIiE4G1RAkYEIdQhJFO70aTcJVJ+5Jt7ijJAiMhz3tes8lcQRz/Xw
mfPwhPcxtVXwtXz2kPi3KsWYof97PbmrROUbx2hYOQ3JPJ4ZjoI/yZdGL3YVsci9ykceVFJyYmo1
ZlHSk3VUSusOQe6qKeZHJgYnMt4UrJHk5VplMBuMBEKLhHOzCza1ymkm2chZx0Q3u0Q4s6MCC2s5
1JHEO2fEPKOtpeovLuzOYTFlvr3JVCZ0ruf7QaVEf3DkBSSZlT4o6p5Kky6VSpXeN1tKoqZJU7rJ
7GTf4J1Z4FD7MmW9izCBPXVd+CxXoK+YwfSKe3ZA4CS+ktd2JZCnodE8xirtmswdbAEfCdhDNxwL
lYo9qXzskaDsmcDsTMuHJ/6eh9Z+mTN5sgAD4AEAihZf6dK/G1TyNoqquFkBXGHRS3paxzUWJSyA
y1+3weJjNTwGKjOscS1OfFbHkeuC38GY650MDH1XTlIQxcXZh9YlLvW1pZNuikveu/PJh/CWKeo1
ViAF44Denqwt43srXaXdGGzFpMCjTl4bRydNu0e3kC5ITqyh/x6HH8ehSj38z8fhNeSDn3nz1Fd9
Ow/x5nngMixHIE0mVua7+ab4xUIBD8TNwG6nqySX31bOSr3J/4Uj3FEK/g9e9B/noe05BoObj+Gm
yqf5B+eh6fCj/XAeIsQxGNp7Lq2U+YGZ+W6+aaH+zk1/Ehc7HQiNifqeNGG3Sk4xLFZrbm4w4z76
uLTZ2aTbgZJZi8JmkSEksYtg6/non6JkvK/bkmyvAhc3dlEP2U8Hx11mIzObZjV3O4ZNz0UAzjhA
rx5cBNLoUxE1Ls5hmnNH0NcljQR8Ps1fUssjvbEj+NDy3WfHAgLtsnHcWEP7TDbADkpusDLt/joa
WnNd5RpmdfbNc8+oAxvtydJZ9HVO+pBrOJ5QC71HJYq62fjiauDuiw7MbW2Md5k7sqwbrWea20fy
2OQCow5RcOSn9TMrPDlNB1LSb6WYqFZzQIqjH68cmzHFiJrU9tm+9nPzue4FDhkKRnLao4Xv40rO
whqfQGF+1pMne7oOG6nmhujih3rHRaKC2jncmUxOFv4AqPwL9DVmuyrNadhTjbXeq4gsv0eeWmf0
4T2F4pgnOxq4ijxrmq4W8fda92k+UBSM68Zw0w3ac1BNRo95TkY17K9gaG+obbkJ5rS+6UGTbruS
OrqEZbUwlDy1qXFrhVUcEIKdgA2pCLCaa8TqXQLtuLZc2kqa6VbtnEevyAgj8+2tdIbphmeTjVgX
66t46Jch9v4rL2Vg4SdWdPJtPV4NXtdchUHvbMeatVZuQXJYVeRaIlkyMSIn3VfDIxCCQWy3rCD/
71jIvvUtfz7D9bD0owgFVobmNKJk3LEoePe0wsbRN5CIXfKo1irlQAfDjFMhvXbNgLUdXqQFyZfR
2kOPurVSk/1839hbN6zeiRP1tvaESbKqNcJO5gIkkZviIkXl/+oSM4gFLNJ3vq5SOnUa15wstoXJ
SV2vhINgMKu1/K2ccmrShs1UYzfEBLlafRgIeTsEQ1dvyaVg6a675rZsZUowJyQyv7G/RqDeF9YU
kqZpmVsmZhpT1jkzt7FX0jZTsLyhAITn4qs4EaUqDrJaokO0egLwBkGBz61NvGOXvvHOBVd1bOi7
YU7ydh3GLgX3aLrjxuvtOv6agq/duUIYN4UKOIQc2xxaJib1wSwZyKODJf4YYIKSxhIXndCyVQ+T
BhZAn3045cBq1004ciU1z+SzPaZKbMutQ0oSYhPIokhxYx1RroM6V6DSjZVcd/LQqBpKwjuximaO
z15u7m4ipfG1Zapckuh+QXy/072+dLpPogvK4BGJ8KC0wjaiYVOLr1IrfRrl4GxNpSsGK6EOEe/E
R7HvkB4XvKdax3PRZu4nut/rCpEyvn81oS/ODIE/G8iY+1QbGSCP1+1cu3sXqXOB5LlBDEf6Eqq9
NoPdiyy6jydMqn6EzpDdH4Lk0UJRk6NcbJa1G94Gek24lVJaE3NaHWyyGccYizD5Sjt2ilcJ8mwX
mbZG3adSbF3eFDTcOQ/bYlK6biv3ojeSzPMXmbTxLjD7aOFYHRy6yrOuJGkC7JnJcLRgPngNTVmm
Q1iXZnVdDNqdRJyzjVn4XAV5x6tMuNw6mQaXH4ksiElr5aYcOZP8YghuMqici4bX5aZTL8+sQ7uv
1TdtS8IXYz/ytnpTRrdpUJcrF8UoqZc1kt0Yz4hmY9gpLTGt5xhBQNyRPaj7zrQduyle+ygBVgTq
WGtvjhnU1vbXZgrmVWLNe6yEFz2vDpkZH+1uzNbmoBuoNs10bUKp2CRWE21Cx4bDQ+reivlNgVtp
tBnWggMJU4xMUWRsDXPkqGfXuwsz3lpjAJic5ihoZahG8iWnlF75YgtVJ7ixayiNYa/ATOh6t8hI
wCbAH2CL32LCzlIWwc7Q/dv5/ZaAQfnxn0udfVa+19Fr+tfmT/B1vxc7gpgLRRBEYvHR4NF8/d78
CYmvEGUdfdcHU+CPYsc0f7FMChOsgHwhNRLd5O/FjvELfFt2r0Tr/Ua5/QfFDsvhH4odWHQWvkY2
GwYdIIAy/v/vih0nrOp81KrpNJosGDciAQt0Kh3Qrl/1ec5tAgBavS1otFgGzbtCJsmQI5uJ4WpL
CgHfYETjouDY1aJ3poUpjc8BNi0k8P4rHNk7wmSy6ynhSaxmaWxIASNc2dKbUyHl17B04cBnOOZE
rl6HrgOZ0uAPbznosCAL+zgzJtlredoSQsGKYlqOkoVtHAf1udQF2zImj6zNkgOqiHzVlMO0qW30
xm1FvnAKo3UJEpZFIEvrs9VPV4kdHd2i9Q9E2SSbRPMY6NDbkmNkyBSLN0q60XNYbKD8RvszJkuB
onZVjXDaK7dDHm5pzylM8VKO+ZUTdp+ExADgZ4znGAOWy8CbtHMdy89Djm+iKhyx5Sb+OsfxC7M+
FDlWL7L94MOwKa14umfE7bOTCk8ByJp9F8bvbTAbz0Ydsv5jIb3pZVqtnCZFSkTzAhTGyz38LL5Y
y0HXrqxy1I8218k2Cg10uHUnj7Xj3Lg41e8gY+6HcPqklSARCovLXyfq2pHsKkDcgmkgF53QBLJF
5oSxq6UPnKZToh1F2Kl7rA7t574M2LPqZsJlOQm8AZk20UPNdS3rS8jfrjc4iU+TIEligQPBZ08Y
8y95S9fTAL1QtrBspnGz92U7GZ80o0ujPTXEfFX3uXeJkDBVi2J2mYd6fAiEvzIaZTTJrdYLLzka
bIlFkM132DfFuPq3Ufto1FTYzt+cXvn0ExmK+ppvJ5f9i1Qhe6hu3R9kKMLFL6ej/HV10xEQj7+1
aSraU4IMc6Rj4rJmnvTHyWVDFSMFx8W5hzr4H4+tfmzTACt5pvoZgFmYEDWVCe+7k8sM01JQR7fn
LJHhpijSaDUWGQknN5PRz0z+Iy/0Z7m2wl4PUTT1VO+2aA2BwsmY8mFpTRGRUJUbVdMFZanNtNzt
BpvCRoyy6gh9SENzC84awQt4vzSCC6T5cW+sNN8rckLAZGddO13n1fnK0cveOoy2PTTjUmhV3Lw6
MzSPGeUaCBA2AmPdew2QoLDexk3pncJKDwkaV9XsMFj3VYH3w0UeVnVFQvGTxATeVEN/IOxy2qAd
yc9OmnS3oJiGNz237RIBbxi89VY9btJGz46RTAoMKoV/jjXb2iDmDNE4kOeOAcicboRj+Hu2VMOJ
xL7hLNCurWp0EsWAAob9h1G/uhETm7RlPbIMWbLtQztuPxlDxTolzO3P7px62z5MB3JpgEmiu8OJ
ZJm3lNkpdTZCkrTTCbJ3BaGGdtuiTpD6dK7ROW8S8OfYWART/aZB4Ev/AM5t7ttd5euoy0SJ+dvz
QuPFnMv5OpxJR1wkRme8USjZhw4f2X5icvRk2o1Ja2mw7CyJ05hJYLt0XfKZjzTfE74u7kQT6eky
hvp+sgY2wTbul/MEdQxXg42lKmqareel9TqePfc8k0+/y2iokKaAaguZgX1mi5IeEfw1D11WdFAt
4hwpeWScsGXSGMmwSdA+UPzirpI3xNRoG86+5tqMzHLFYqM4sBvtD02TXLFinKFBa+6msqfx62AR
JeiWWXA1FpHFzxY7GumHUr8iyR7KeTFR1bUtR3g1ufm2DBBfWCipF6NdkyswG55/ldaafECq+IiS
3Dgamlte+PH9jZbA8G4Kgx1sXeuXaQ4hWoP42gcRa7UCfTIhMOV0G9busOqboVpPUTeug372Nw1y
9+Dfk/W3uvBvCVWH9/onCwHxHZxKONRwEoKiZNT16/H5e01o6L/QjYBYRKmnslI5j3/3XHB8fkSV
CR1fMa7n72pCi5PVwyfhgPQXEKP/mcCPn+zP8y9mcsBtWS9IHYnfx3zsu4PVEWWgi3Buz07joHJH
HY0eOzTSlVNZ3tbp3VemJMOmUt0TEMXY0q6yxu3UzCoy4ufIQHhyCf2iq/ZMgMsMQnY86GvU2p1z
XVp1PVznQ3kuzST6xKYYwSs+KgfJrRqtwaN/MVObQzyHS1fqPud1QOMNWC5XR7xhzeGm/XhaK5s2
bW/5Wob4WrRO2jxnIbrmEvfgbLB0NnGNRs3GyMdIXGXZMBd3wUxxs43gOxLiBB1+65kB+wKH7fbY
k/1YF0O81RImSoPqqvpEivUwVvNWT2T9AEGhE7vEm+S8NptuCshv9uj80461N1WzrzHNtkoNlU45
y1M3NSE5mUYh7yIpa2wDTskanIXLVpDy2N4lZorFQFplehkNGRrbyuG/p6ApnuZBTfxK5NcxTriw
cPZI8kz9X4jcb68odcd/Ln4OUR40P+nb+KJv1Q+kU8eyeRdBLP/lHTUFgSEMsFUsMR3V76+oJMyY
/znUOa78eA+/tW2q+OGtdQz6QIem7x/t7Bze9R9eUdpDBMLQ48gmwRv159pH+GZLGIGDMXDWzPoe
KSqUz2U+ZWIF+bjD/cSqKTo1bmJCLJEjq7UhvdE1c+mhc8vQ54xttGwd3Wf17soGalNRz6vJ6XGW
dHbDC9U0/hXDCkQeRVrMyU2B2BZWMJPf8GUcDPDNpnmeJBZdSyl0Z2dELVmFb8wLGVUqHS/dbQga
TFuOSHzJAUwIDcVNPyD/DYX/xH2NILggmXtapR9C4QTA0jJT6mHGdWgHoVQ5o1wW3dTmJ0ub5G7C
6xJZkY9JJB2YVpE04ud9+WYAsgqgFQBDyfylKPMNPthhWWTxroq1XQR5dTHW+ZtOMCg1C0QTlCn3
UaB9Nk5lPp0KC6eM6fDxpDMpZan/SVTuTVboaw/reDzfiFbeD33zKF3YVajSvNO/XchHF2Lx6P7n
FxHzXPte//VNVF/1+5vI+pwLURiU+B9dA+/bt9tS/ELKF5pv3tLfcE6/v4rsyLHvscFhqCFwFBGw
8PsEhebFtNDPY2H8jfL4DyYoNBs/vouOigbi2lVeSW5LNWH57rrsjdxoK82bLrb0mo2upfm6Yb6R
sA8mpgPnWjza6M9tRMS2n5enQbn5Mntru9CDm3rumPbp9nHMR8Q8MbqzDh0plCoIQJPJ7SVaDwMN
cFaE2+WNYdUEeZPJeMimwGZIWTx5s4iXmq1/zisWF9zcN1lUsK4dinSllYQu40q7zC5r6rzooQmV
DvLjgpRCEiYVTzzg5MiMG9bXCJuyoVuxXl7rdP474gQp5E1Up+wlcmKeZW4vozK5tYT7PiTVXdFH
xzJToCRdqZdHbbwKlMpnbr3yonfyhTr91qv4V3yRnCxXH1Y0F6tmzFNoC95Jt/hoTCNdjEF/oyfz
Q9aV915cHViovXBcbfFO8cPORF9iuztalNCQrOzTXLpfZuIVCT9NQM0b/QGge8GLO1TAoBHihOig
PMP/nIQmcSpusYH0una06oQC9ClW6Dc14lpGYVavB3t6myPjLCKyKQe3vIVYCckvNiv3ujFdbdoy
V5/w2fH9fJ29TgUBGTYS7PRia0BGhi27hc186IS3EZCTZ9eN1rbTH3KqdoQODoq3ZsJo0zXl0spi
JBEKw+wFsIYHAzJzB9ZZoZphG657gAOrZnr3Hbk2DCytBnTnacq/dk5QrBwFfoYeU2yEgkG7UKH9
epILR4Giy7i8CSFHuwohLRRMOlRY6ZoGCpoIhk+jfYghT3cKQS0lkmsslZu52iBsVJ0PtiQhb8Yh
eMT/CL8iaw6BAlv3CnHtKti12yCqZF3fokoChe0Ar1wXCo9dKFB2pIjZkLOTD4Q2LG1/cGtCxMFr
t3C2dQXcbiFvOyMI7mbUIiim6NixzFkrNq3JugysCOx+py+wCJbYnkB602oi/YcIzerQ2Blwv1uo
C8sux4rojzPCj4oNFSAgIm6GG26n59wx/UU+Zu7aRiiWSWPHDhoGdeBdxhyyWKqBdHBCsdcZVC5k
KVp0b+gk43S8FKO2rwtYHtOQfIap/RhneP2m4Tq2OhYnQfbOIQUrJ0AZOrjnfrD1dYw6gWVW3hO0
QA9Yml9iK6LNLcOdmU5vQ+ydkQPewQJGpW3PzylWP+z0drBx7TjelEzsFkhOnpuiujECJmvkBb/H
MzYNFJXbucPLb6Qa+UmwHRmQRXdFGNA/YyVba2XymA/Fo6iV27i3kOXHL7lkdEe8F3sm4IeA980T
GtmHuNYODEyuXC8jeWS01zIsr3xGk8tOpT7YQiBz0Z5b6DhKclPU2DoHR6GbA+epnTGaJYHp7frS
8VZN5rFzFjx4FTK/i5EUrraq7Dn68u+1+HEtGn/r3T+/969fXv96Laqv+nYtoqJAIGHADzZMyYD6
T9ci15Ry6CtlmSO5+/64FpnzI22QjPwd9eV/XIt4+nVM+zSZTNQEZe0/uBWpRn9yK3IXoioFciz5
Kf58K/pdVJo2+8NLlF+bk6OOsWlYjK13P84GC/oJ3ptn5EdmSrfk7L4RcqYtHW3GtRGypJtwTyyc
1rtqEu9C6GKBV1i+QdM6pZ33MM/VPa6Krx3qqUqTatTnPKcl3FG3kXh8B/o1IzsWiAmWPYZQ3P/m
edAhPaUSDBQxbA8ykPPGhKdFUkC1NKgnF3g0npLUeQim+U3z3XzpJ95uqLr7JGqv2aqfI5eWUPfI
rkTdURQjIT59i3C3R2WsNQfhxsSr5f0mGwt+Z9zvrolwpNt3LmQPIuWUvHyTh9ojQmwwGvYCHfs5
dQMgBJiAcgedp583hHZzB8PDYN0AMoU9xILy6EvhRZcmQW0fMK+8m4nDjnrcyaJsgCyNkkmSiRSb
XhIShxavPc1+zubEYEfgO+uRidiVgy1iVQ2iWWkgz4lYIwxh6FdIS+yVR9SxO3gzY7nuTk64ROba
fiCdvEqWQVRbd57TBTCNCCZhG88KppnvxTCwGu5djD0rmzMtRIUB8uQ8TphP4f4HqbViSMgOhCrB
lThDmmmrp+NuHnqoAI2ifgT03brVL52ZRDPfFiCKyn6ZOdZ7GdunVG88yLbzC6y+EBM9D07od/ct
W+Mofa99+6oiGhBsTbMneuww1k6MsTknEUzX1mHCIlU4IBB0tO/JZB5gKT5OFvrFEuVzZk+vwLyq
exx9t0Fm3QoBSLMc9h2wKnbZ/i6yAQBrkb8jcwASVmUepg4MrqeVzn7SqETmzH3Q+tpdyErbDJ6B
lwBJXROhFveH/eyh1tGLkjiXIF95PYtpCrhtFGGaY5V2nRv+xuxg5jJYBOjbPcxp+pjaxlfU6ihG
4uqJVc0x95P7yQmfkT1co/aNaKbcXZLPT02dQ+Uqwh27OGeZYqfJx/Yq6xye5nh+6hEsghB4bRF9
AL85eHG0wkb2jCGuXfnmgBKb7fQirZVBsb4PG5TeZQecWHeSQ4I9qQQChEf9ufLondgpnerSuZ1D
Fkim/ygmbYS4My2zrnvBA3NrpMXGIa3NxII/ljqUADkbx9jF5VzJHHVgf0ahtEnyLwlrua7H/Ngo
z06kTDpID1cFkqBI2isXwO7CQ2rD926eWP6NS18arxniTMTfSbvUqY4FAQ8LoN2f5Iz/Gt6Xgw7U
+ZTnwcGt9OfZDU+pN96Y5CQLnIkLr/K+4OrcZR7EB4naAksTD6D/KY2Z3jALerdjgkOiXnziMX5y
WuQ4wC/ImJQ3jWcCpJ6YFmvDdeFjJ8waQfZ6YJA27uf2IpWhB624FoBEx5RVp3ebJJwrIVutvd+H
+hoN/rDJpfc2+u1rklbXviBvE8qzv8Kk5C+zqfLWdWwfSrexrmcTXhGLPhjSfRXflbnA+IUTIkgw
HhXF0ZyDN5ELQILdtMt8T1u3iXHGnRmrkqPZTKmbb7ykfcfvN687J0xQOxA1ToSktyhbenJ2PmRt
2ySp+1Z9nAW0BkNg/SOtOmxva4IzIYmbezlbZ0IAD0XGbxkl1QrrLD74WbNWUxCs4jCDMuVY/06N
fx1JqUHRf+6ETzCM3+v36SeXPl/33aVPMgEBciqlwPigW37fCxNOQHizJC4QH/gfl778xaNHdj5i
fhBHfmuEP2ZSnsP+zsHRrSZZ/+DKR4b545XvsbPBZ+4i7WTz/uOVn5XsniYsIOfMnPsNo1sL3Kzz
7DAyKZzu0WCEgvUNSssWxPzaYMDStcG9ryYuk5q9lAxhKoYx8giu47M5JPeZmtQINbOZGN7IFqTK
hKkCngZwOTZ4JXYyGzvsMlSzH0MXL5qaBgk1FzLVhIhC3N/MDI2GCNG4H9RXRLfirFIWCKwQOZaI
WWvxseCRGKLqdcI0ga37tcZEAYXcWMp2PLUf/grltCixXHSMfXE+48IAxvsCjS865KXw12Kw5UrH
tEFo+4uuXBwWdg5f+TqkCwkEowd43TPkzCURmlAmtwnqtEr5Qux4uMf1/Qw/dzdgHGmUg8QxypXX
YD7DXSIA8ABN4maNzlY3LytlQ/Gj8EuBLyVoOccrOZy9CMdmERl7C34FhzYINAqbu6A61c6mbJPn
Svld+BG33N7wR7DCoClrFu2HO0b5ZHwLy5yNcwZWIuUPZprY145SuWsK5bPxo249FPFtSV8llRPH
Up4cJN67qki/1Mqt0xpNuQhJF6uVk8fG0jO5HlJ9PD66cvuEOXlByv+TYgTyGRU0dkBwkFO/6cor
1OjyGLrzqsBENEq4ji62ogF7EXnzZ8JtVjJGYVlM8XEISAuzwGLY3JYoPyW6Pe6wXPmWgpkOUSov
U6pcTanyN0XK6RQpz9Ok3E9tNl97rfNql9o+0PBHdY1Bdw830DCmm8GReLyBYsrK/DxhbF/CW7nN
RRavQv5yAHju7QJZVcYWUXeke6w0sU/d4lTG40ufjQ9h07yVFXs2MUz+aobRCh2yi5dTjYUuids9
qHkyCqrksYsY6MyU5WoYcePjsyUoY9xlNHCbGrLhYp7QACN1N/E/QDSGcJgVh6IsL1YdbhKp43pI
cV+HMG961yCN1byL5/wlFdGBRPJTMRs9ILn8ym/ao54VeyPDmZ3q5d7t3beYtaoXBltpMYSRbvNp
aKK7stPuo0KSHVxcdbX1jlJnn+jBRdPzl7xJ72WCYTWdh6NlIp3silPXJyoFb7xJs347+hjsOgmu
Ydhhe9qL2togwt9VQXgVWDq0KkqxMh0OQ6Nf62Q7b7q5Xvlk/Q1OqOxm8yaqkY10qGem2bmqPePW
jsoDyb07K4FzM6VZt2cNf7FALjDNuiB7/dxEE1PvwLhriuYRv/eBsujUhdYqDKbbXE/J3OKlT9IQ
E2D0GCTOFn//LpORu8cvtpX9AKLbaU8mukRuNfPGioM9yq6bTOt9SBIVrvZ633v6kz5SPMHnTFee
0d3iMoGBjR1rdhhD5HP21LUm7lKISlO7YgsFOgAOnpnKFyK2toMG78bD5Rn1z3nd7Rpb/zoDBl2g
9VvPjf8UYfgB7z5reXZrRAQXs8FNDXDfUAum0TSvME7P61qmBxyCR8sjl6ntIE0BzwzD8GL1KclG
dFpEH58GaKvkXORvPU7GBZzKs6Z726rwzjXUQgiR4yardLGObPEQie4IZ/7RTLQzUM27Wf0JTdd+
g8TL2xisTWNgfKA9jnp/MYU468lI4hnhS/U0vBoasZNRGWCjq9BKtfwtaoE1uwuibeVmLyUS9Mkj
DaWNVKASQdVAv1aNFA8Oq+8KyWUYxisbiWZPrvTSsD45QbeOovktTp272W6DY25XJRMb/7Ykz0zL
dcJ3wU1Ys/0CPnGLtmFhmYO9i1tprYd6NHao2HmXg/cEJSaGj0JnRjgdBauZjcAcvNEjvIIV7DMe
inJpjAxxZKDvmqx7aoborspnBLvBJ79udrlGruQ4uA85jDZ+Z+yh6WNbhf1+tK6TJFnFek/VLcEU
ZePWtorL0AakkMzNir5np6UzSFIXEbtE0SV2deDx0YiLhvZuEcJ86jvjjuWHC/+QfYqLRWbRCxhC
pjw1Kff9Om3gfq27oYoe7CwiAsyXzsHIIXRmzHU3YSWRqSMzjtyet3M+AsVnHlTzK01TuYN3sHWC
3Lt2YS5RB/b5etbAYxkkU5Kk2Y+Ys7M3AHNrSxKyww2DO9Ql3Ks0oHUyRgRmtoP9hsBG0XSL3uuv
GJbR2GnT17xu9jZv8SIBN7Y0MYQD3RiZvdHN9EVgkAYj65UTUpSKsHG0RRZLBqBZcBxEW17ySrRP
MSTOkMqy1jadO9g3zZDPSBfmEgJBarnwBjJLrMthTlez0I6DWV/1ZXQNUGRjjaSEGAyOK/82qGqE
Igb6QkBkRuoSRymqJ6AF8dIJhnUtyDPok3HbWT5e+LZ962nYBRlilm+e+mHikolWWddvWp+C12w+
lTrgGtcJXzlZH9gd7fwhvOj2+O7H5iGb+Zi8MFrzIBXIQ9i0zfaBZMuTH6Xmkiz5VYzCUCuzq77j
iq6Rf69kDbZax2SfFLdkgqF5zuZ9GcijPUY7ZsdU+eU+8wacJHrCXhrInoxN8pWyuxbybF9M04rI
nk95OuTE/SUHPRr2uq6dWGQuKYW2xljtW99jh424yKkOQdk+ApA4pHQMGPFAj7mbxC0/K85CnAQ3
o0+lMNnlevbDNeCPJZ38exZ6Ry1H88JDN47dofPSz6whkf+jsSn06LZWdm6DIQYCxoWZyV046neN
CoJoc/Yck1J5OwST1sPGh63g+XjoOrYjbSx2WWc89a61TGMxboBnLE2HFAOf55EJacXpnjylZrcM
hB3AvzPWXtIx9A/SvVbGD57nb013vtZ7I1wkrfgEEGdjxuVjwRJoZWZoJDVizf266JdoVLs1WXFn
hrRnPzBfRr2V6yguVcgCBoNo7xH7sCH1HhPf/F5O9rktSRLnfG+P0uBhCYrBJhLQYewwlWJNHrh7
KQSJdhaYrNRFOdnqN6kFuxEeIfBlc9OQCsAcIxSLGknWDvrxsz3EE+MTkNcJQLFxdDsCuYrHEY1D
qclnw0C6U0Z0++R+LHTZbZKmT5d5w2/NvGkHABdNvBuAtAaaFpBws7TL5FRCmAPDMF80oz4ghMPO
IJmzV3WGZnJsKBHhGlv818TKVfTVXRCNgKNnlKeOgZWo7Y4zIvhFaVtPo+BFi3U3WNWjhwBtss4i
ic7JkCwtQsX2Tjg3x9Kv4RKM5iPxvMHVAJjOa9JnjHfWTr3u0iTuDuhtuknq3nx2Q9BmpXUjhjE6
eiY4E1Hug1L/BIsFE5CtY4rvtgE5TXqWHKtAB/piwZS3s6+dC7/bIlgkMN1PCfmBUQuhoJfUmYMy
9bRPk6huvbGCTVQ651gE58yJ4SZYEwuX+KFKvWdrRJXGOXywzThfd4EsNkZrPc+Zt/caoSEOi/Jt
zhTioJF2Bf0cmxGMzl0MBB2+UsntGFiZbt6NIjZoI/B0W/DgJsuIl4kptbUhIp/h13cd3/WvVNP/
k3fZdYEat/nv/1Kbwj9Yp66l8uqw+yIJAqyFNO6HmakR6ToyvDy6wGtZ5PmpwQHmWXd//01+SJb/
7ZtIYUlicIia+UE6kPhjbWpNE130CVn1Scdwo1mf2uHT338bpBN//V0cadmWblso2dWP8d1W1MeB
RRegU7gbX4fiXjN/Tcf4PP7f4L34yWf1k38fDJoANavTbNo/flYNGpyC6W16yQceNGJgGad/677/
P/99lKp8QnxQNl65P//8gQNKxbSr7AK4MoP07/1KJf6PPz/j+b/9fH74W1syEaHGUUp88lZjPCk2
tbNi+zW+p/GvE5V/8q3wTTLYdi18Awzk//yrMGDWZ7RPyUWPd3AvWD7BOg0srIigOxZ//7H9eez/
8Qj/6c+iHvHv/uy6iLIeTE96KdFSEOJD39WuOFOnfvP33+gnn9+fvtEPv1TuxF4Bq+rjG5kMz1Gw
hhvuEXUVl//Ds/aT99IhMArXNrejaRhKjfPdL2XaAHS5ePNLAxKOeMpxbfuf//7X+dnj/N23+PFx
mxm/FoGt55fcfY39Z0v7XzzOxFYiafKQRQDt+/OvAJnNbi3s1hdIuJ7pLNLpf3F4sTVCFcX0h4WU
wWbp+w8p13LqeymKy+y8Ds65IzVWb/+Hs+tnf3QeYmSOFrYVoWZc338PL8wQ6wCAutQUftPSxRJi
32DuL8oV+L6//4v85HsBRUCfgEEHnciP5yRucoZsLGxwOFCTEIxHlMHaqRYFNdbtx7f6N7ZN8CZ9
O3RXr+3r/3nPW5rW82v2/t//dXxN3v867lRf823cafyiRonIe9Rf/cMO/m3cSc6PZ/Eom5gAcBp9
N+70IGHyJDoGI0rAl2ru+of0hzQeLgtw5tSrru39k4nnT1JclQAQJ7urM+LVMa7/8DyaDGv1Krcv
SZ8GBy2gCbkbR6JCdhTHyXZgP0sdDJ24cu0V+/p0b9Wg9/4fe+fRXMeVZtu/0tHzVKQ3gx68m3m9
gyEAgpMMAAROeu9//VuHbKlItUxorklVRUkkQfIi85zv23stq1esXRoyi8lnPScQpFJCSjKcnbJV
yFBLKsYAO7mWVMsk9CZTURwUPo3nb3uyKVM3dg6vWQAw9BaX7cXAzYbRaEDTeoH3EAmOQuMxQT+s
fPMQ60l/16Em1gccxZm0FbfSWzwCUsoQGS9GtR0RG9fScKxK13GrYyQr0B93i3bxWu8dqCZCc/eK
G3ZPc/YeLuNWKdvPisCjXITlsUas3EjDsuaNnzP6hi7q5Vy3HkSMXYFna0SpwaiI54tnniN7w63W
iRo+w3976aXReR6QMaYdlmdIm7iTTbY60gDdsHlaOUiha7xrq7TR4WNklxrmEZApca4RSTcIpTug
1h1/0EDfMNiW44jYszrk0kKdc3+10FKTQIH3g6faW/AXpECTnIprruHMhwWptdtEt7O0XEddsu8F
T7BaGrC9mQykK9l80o6dkMSiEvGcEk8m+F/6ltEsGwYCiy+q6K1FzuZzWbCCQpu3AOAPmTRx5yi5
OQ/r5FywdBM0IigTmWuj+eilx9tOMXrTm6KLxhSZ59GHIq3fHOautfSAL9IIPjj1J1c6whVk4UDb
bzPR7lDIIT0bSj/p8IpbomA7K13jMzdoF/m4Q11inQz4yDXE5ITHDsBJuQktt7WrfKJP9Txysl81
KM3pscKGHFNgym3CmXrepdJ/3nwzoaNEn1zySgrXMj+qxCZBmz5HdO3J7W0chOozcTz6z41EeMd2
+8qsTD9NlkWgJZfkjc6FQh0QtjK3/P4Bdc4S0oFLE2DHAHnGoTPucHviqs/flO4UHiB+fnAq/8QX
ICH0kbuAYne88RRK/5TqGU2QIY1286BeF74Zbmc3cbap4jI7kaGnadQPhpEYPlyzlVHzY5a4Uq5s
nY2VM6klQ4AB2IlVG6T1tBmQiBFP+5ym2sqqy/jgutNC4N0akYrEXJMjEJzqMGxGIHQuA1G4gSh2
de1s9NxGHM+7haWDUSlLLrVdxStde6JXNN83mpI+F1oC4ayGzWwwUtPCplq7+O1WSKlSUF5c8Ez2
G1PBXcygJbRyZVs+1z0lcAokKtrYDxd4l+tJlLgPlPmc6qzUPdSnPe1BethoAfS4fW16tp4gWFcD
vlmyQAYdaveAlsk6aIJAQVkl2NPdovmiE+hfAcAduSENrKllSraIHDB8eVMxuMgguHaL+lZr+uck
z8ON1/LvjgSftsUy8VRKM2tb5qxgWyVRCctjSNF0+fcbsv9czPBYe9E2G8dLzHcUipn+kOBsiUZ+
16piYXMuj9psbOOc8FjpsYpIloaOjef6E3Qynhk9f0MLeEj6NpCD501e5LeRFZsIHBiYwzE9uqJn
TFCp29hKn9Wh2fZKe8+6eVhlGRj4aGwYAqXntm+AEvW02yEfbsOq2tl9+yGMkOgCL4+gUjK+YdNs
pZ/dKf+Ut0l28qKBJX3c0psEMJ6XjAoFKTs6UU/knjejWUH0cN+nUmfPUOaHLuV+KrRpy7Xo+8Hn
3xOCwQXiz08I9y/Ffx3Kl7qP/6BRI3/obwcFnO680zkI6KC0vsFhfjsoaBwHbE4PLE0dYr8c3n8N
Q8HZJkKlU27kHslZgTPErwcFaowuwf9vPxlxqX+0Gf1+VvzPxd6C5a3KeyR7WZPDCu3mn88J0LdQ
O5tzc52VwSZWofcaMNyCSOve7tEBxaZ9JhYSXWyLD+diW7c1MQLcFOqdEZp3adO/l2pVr6YpYvEx
HCNHalD6U4pQShkYlRYcFgotWHSCVoOJ37QyTmo2E/3t84tuuptQOKc2UjblrNwidHpw5uLJmqCH
hvW7C9Gk0VzuBMU+7UndK4iQ7AgGnhs9Mt33FVO9ndPs0rOg46l+mZyhIws8nVhsbq1GY3UqHixm
yShPk3XWjK9IZs8hAI2uMb7ATNwOnbTD2cBBaS6b9SWMootXEtFdTF9E1aXnXW6ULCon/YlWxi5i
weDN80pJy2uiJRdpGRp60kvtEkTq8Azu6iaK+rMYZ3+AlmIy6WPFQjATDoT30bIzWuNBpMbY9wda
fi+I5FaxbT6BhNwrrRcMVnsXiQVEQhLkFZW+qrmfW5QV4RRfgU/tUofdXWI/WEhkl7m9y93uFZfh
BfXnJQrr02DnO4sHGi+uXV/jJxfVB6jGi6Wxxwm9vSHMO0c+xFyl2nUOlnUzo3nZMwDX5vpYh+mL
UZp3XgUuOabclPXOtVe6k9DzYBHDvlkYvzrKXeJNe00NH818fuAgQXso1lYwphFtsd+IQrX2nbw+
x24m8ZY1K7i5D4Mytl+cgU1lVU9bt7IYp07VE3HiaAUM/BXwL46NpmGttW5nb1wgWbhNsku8Itp3
30zW5iKt1gkLAWM7NAXvXA1Q5TAx7GdssS1r9FQ0D+/SsqsOUDAHv60ZZ+NuNM6MNmEKA+lcZRNh
KNChOpGjJbnTNX2b6oRuWehgwySJRrjfBQCG9Qbm7YItke5KUjn1uiM37/fOaO7YGhOItuf72Jzr
gPwKYXLDTjdLjy2trGrAPKJ9cMEUrFMbuFGS6bexO3MlTD5Gi1yvp8jOefhWugYAdfO6YDcxm/RS
t+kYpOS5zSx8jxfzDGbjSRn5ceem70g8zyYInoookmELQNLlrV7mj2OPbK8aACqGlPF8ElGsfyrz
VbCHX6mNDIq3NRF307vAG2IXMSVfPYVh7mDCUR6GqA5S3X0XlfelmPUHGn3vfP0Ac0oVL+RsZIFR
kTCA9lEFnP+B6KWseYZK21VZw0Yuvg5RfkDL9WhOM6FwlXeqe4C2FwM6ZmcmoscYrwVk3Poyh2O9
gfENwadX7HOZhczKpPXLS6WkROLhTDjuI17jMVn4U64B3JYoedhxyp0NGuQknfahkm0TzD6+twzQ
pggRMO++woN4hTXyOpncwBupV14cG0onwmWHkquQCma9ZnVZcTQm5L8NsTR3UtfMYwq9krWPRd+u
eozOsyC76CnmWyxlzzbFN6/vXpW+4RqCDnoKVYIh4RMN4wF1JgZCIuK+KR3SUiZtdgSol6b6FI0G
oulkntdEBxgIheFnQ+qowyp0+HwZGxC/pE69kW9Rqa8uS74tOc0wLcdtnasE/wapu+5506PDGAEO
YcKOF5uvbTgQzrpOOZexmcqGiz17jFRiV8NjoaqHTuq1MwUrVaxwhaMGfUoj9X4U3dEqok/a7KiU
O1iKNwkpehMKuY3BG9q6hn4jfeDexMYphxqOgC7r76MoLTbN2IrIV0r0HQPxSl9JhmhvcvyFE2Su
CnylWzITIK0KjppFm5dcH3UCs/NtlbccR7Upu41paPj/Tis4BliqdIv9+Vnk/PL1vWHq9n2Csf/6
P//9v01DftSvxxBkaippbEZTOkQ6ZgM/ZLLVXwCtgFIgrMxQ6cdMNg55R6auQb6Q36Ku9J9jiP2L
I+cULj/AIFf1z+YVDK45Z/x8DgHlQNrTAEgjZ/K/G5oqqjazP9HENfTyjSPx1l0LFySDeG102VMF
Absioh0sMLEdCccucnHOyn6nQs02JT579CyKIiN4Fyc7TjBeVouXnAsQC4EGfbuQGO5OArldyNw8
MmRMyfPW9CHetB5Pduf2l64X/qANzzZ8bw3OtyWB3zy3vtgehaVhFI8N3987kq9HkY+h74TWEPBl
l5sehngpYeJC058xMhRBHZvTqjVAjo9knzdoST6GsX2nQQzilynD2kXK6ucwy8s0ugXg/rKo46Mi
OaWexJuXVrysU4jnlkSf98SZVhWo/VXrlK+0M94iOOk5XVAeE/wWewlRbyvtRoGqnmTiXEJZTyRu
PWksYJ+xfkOj40YtjIlAR9axOwTTnklgO8HsAXjm+AYvHMaC1serNIJPt0QW9Uc1+USc9YbqI1UW
FdRNa2TknnLvvoUUn+fabVuMzSYh5hso0OQjqPJRNx2rEvGCM0IfNCHPC61K2Fly6KCmSOCot+BH
x60bIGBZHlCVFDuvtHp0R+SkWQwbB1e3E7Ki01dc1PNBDBFa20LlBiux+MboKlRyjJMtifkmulKO
FuHtLHH6UY24eBaqTO/m3ooEle0XEsBf2sq2hMivxA5S+/rLTBN62woDFk8VyZWlw9sToj8ETurh
8PaB/IeoAupl7TgIADKRv/GOxzgg5QDgJfJ1JoUBE+aADIOADaTrHKcVfGmBXgAuxiaJEQ6omAfi
UOvWg5QR6FgJ0hCKj8PAK6CAxweypy5LeNjYNToqWdEvb32jGryte574UnuQSAFCL1UIcYIUYZnd
MyMRL3An+72p0E81nnYpxq7wjY6PsmUmUyCGGEi/mF2YH/Y9wMIvg5QxxOjaVq3rZLuunci4ifFe
kfKGEIuDI3UOY07zlqkekw4pe6ixPoQqIyby7OYOjOuzl+iv+De3jlRF6FN7VnKWNUJh5m3ik1ii
+hX728xfvlNjeGs9+5bpVkc2eqG8zDvGwvwyNXO+MkasGtHTJPie11O39LO+VxlLTpvZ6IwbZ8yf
MSu38Mw5WRISI7FtzY+TkKKdkOvzFCuyGpAGZUkcKU1LmKn9uB0zOsJxyQSn4Z2IltY+yroAhQfM
Y0SqPi1leG3s6tRPLIL6sviIu/peN6J9obvHwQVuxPp1QVqqp/khUqKzmjBxI9onOCr3aFMa804t
7QFcXT1s6kk7ugYCGYhV+9IRFBtSvnBP7NrRPEIl/LA7Z8PLTz6azHWJFPdQKvOLrnKYImNCz3Dq
xlU8D/YhXrqNO4kJTVDidN1TwbmCl2dUYWVHtVDeG2PfPpbTND5PoQ4U3FbbodkZsWt9EWlpHbq2
ysQNCjvh7ul+ml9CYevhObEY+uZEr4PeIyMfmfbamnQ+GiHRmpDPy84sQZZz1MLPwudubVU0I/kU
Pvdmv1vgYJE6J0tho0d3pKCQexXh9TK8dZeF7lrf+QupE4IG+U1mi/Sh50a8zquYx1Oa6Uxxkg/R
OLcN2cydMuLwA7+wy7i6+Q7hfcPrvubz8FhbJDf5Lt66IUgDr4fMpRKGNONjn86WX1XqizbxHC8L
jEI0vrVRy/wOWfyuzsgAFW14nVNV9+cuBbYvEoxLkBjTfSE5+q1RvDjlAPhUZ9fo2Pic0+RVB75f
JpwVCV8VNYK7BTx/aMLpF5LY74Du58RUDGWQpzuXMWGxbOM+3iqDeyUIEm8G8P82GoAl7/ah9AI4
CAI0RoWUWIGbZEPNRC8fMRsaxNKkWaCRjoFC2gawteQrOKQAH4BCzCxcjUHV/Hwkwanb9V2cWF6Q
Nc4prOqbUhoNAPJwbWA+Wkf6xZTWA0vg+mgaPAgIEfDJ35R5fVFA0/ulaj/Rc3hLpENhnLLjKK0K
w9Qdw2p5stAtEBG+zhYdFBLQh0oaGfqk2sSeihLCxTuDswGxA0EfpdRWPXP/Ao6Mj5SRo2EWAOi4
d7wU6CcCCJs73WaUTgjD7Y6JtEQw4Lb5F6dNg0DClCaJPo6YlSKXIBPO85nJejrg4lHie8DbDFuc
PflrBu3zacBSkRr8VavwqhspsHAwWeSaeE88b2dhuCgV/mmI84IQ9NcKB0auR9t/z5Pfz5Mcr/78
PHl6adv3Pxhryab6D+dJIiHsVDmxMUb+HSnZkP83wWAq7vYPoBgTbS9nSVtl2kQw4qexlvcLczCb
n5ElGKgKSoP/IPEPsuv350lL4wuzmGkQwjAB0v8812IiMyngJcbrPBqts46GMOHu4yB/EHNMHUwP
j91Ca3Q9M7VKH7VeA4kO3ybu9tUSq6tpsJf09H0CkUx6x1FsrIpSYkQN23qTtFN5bmjCZd2JhvE9
uKzdZGvC+/BUEtKMbNq22XQxQOQgnJeF7+OqHG3KZ4pksdS20BcCx+nIN8pSapwVqbFN2jrXRbOs
AVRDhA/xeAQdza5tr6a4Qrm0m9ZDpmHD3TiM0OHZMEzH297tKo5Ju8mYeyYLEisrvhFmhUjybk1l
Q91FEkFLdxAYrcTSet8ItXM1D2slIz41SIAtJUYYt7kCSx3W2CuTKCy0EnnbfaPfWrUwtxZEXHtU
TAjE7gdbPFziucjXDgXpbaUkMuQGVJcK33iMBJoYVy4MRMwLBE4ixyYJ5FUlmlf/RunNJbC3keje
XuIXtRmcr9uY7Ngk4leTsF9bYn8rCQA2JQo4m4ACu1XxnjqLtTUkMBicvLlty47A4zecsHAQ2Fl9
dpOqwIZrqMO5xA/ndT2uXYkkFq7xHklIMTAPPhaSvZoLkwdNKWjAQTVmsiF29pIRwpTI46hpPpwx
DPFysP5zcpaawSghyVmnO9uSnvnBkwhlXYkSmu/E/oUELMsJTiyRy+yDWWdIDDMpQWs7SjRzKyHN
5ZiT95Tg5rGHH10swJxz1/icSbyzkKDnpjFVgAmcOLnXkOKtOMj0Eg2NirC+Fd9w0RIc7UiE9EL+
jMGPBEtD2+II/w02PfA2QZVSrSfN6THcIBANJZ5ay3CPwBvKd/8+Nr8/Nv9yJXAq2//6f4V4z97b
P7iL/7ASkJAtQgOs2HUG8j9ZNMEXetzEyaV9K07LEvSvKwHzF5eHKjwAODgs2Lhw/7YS0L/xt3is
0sp1ABja/+TZSQbhp5s4gSxVZSlhcPPnGa7Kf/5DpCgBPe2OhZdcKCIuloNCemvWTz+8T/4gwqa7
MnPz431f/iqAXS1O/CaQWYs/nh9/lZogMigtK7l0ZRJnQemq5KQ8rBZ+aOjpOjHaBuKcrp0cQd25
xyTtZwtpWFbrd2oV3WYxamMrik+jqpIL0BTL11wGv3RLVF8V0X7U830/ROd48HZVr50Imt22s36u
l5I2rnEFHXZQkxR68yDbvmrtMXbg8RL2EJ1j3fuqTRGAe4ARq6RLJ3Z2/UcM1osMpo2Do0HmAOWB
Hz85Cko3RJz2YVSWfBuOkxN0CresxCMJjPaat0baFeBqdfMxZBW0dTLL+KLneEAVZjLbWE0jex31
dZWty5niTVlqmOlchJU74YGt2GsGMiG2pu7FZhXAGg91HlVnN2I4C9XBfVz0mpZRrWfbRmFJs9XK
ETq+X2m8dGu/t/JuDhmdWsrVrXXlzM9fMRNAEKyQoS7lgZtNYmD37NsBHeJZdNwYRISZHno4gu4N
v15rfLFmAZdcn0tOw2I27kqnsaabSEN2UovZO3qN7RwG1p7PwIXNp4ExLRyPGTpqV3BtcqFHNvS+
rHHZubyRbV8dW4+6OmV0GzjZWukRQurVRBkeoL1fCzFDBrGGi9f3zrrjz5zS8dK+tIRIppkJ9jxR
K/LqeK/oubZmC0dpAFX73TKwz1XJRnml5t3BVtRWLGljZuwePM4qh3mZmkTWNcBx8RPdg+HEX90Q
2DUzl6aDEMV0l0MAS4KDjcF97bAO33ZdpvmFF5qXNhq4UIAP2RIu3o1mQeF20ttbwQKbN0x+Ji9+
xmtXbJjv3JqltXejPglCO9sRwE0DYag3rTfed5TAH8QwuR+lyrAoSQN7nOyPMu4DK2+DNKy1T6rS
b7jx4k4vU7rzDCpcttETW/nWrr62bfdexLQ3k/kRnlTQGMPBm/INDxBYxsvWnNTz7A4BN6wd9R2S
1RGWmuFVtXriKcomGzXeP1QA+vkN4wnvrbdQ7bVgtDODtziG59Qani07fs0W6it2m7YHkgngx8fl
pOc62yT9bFd9QC/6ueKvr+3YExSusw4He4O5e9erC3fVdi3yEFmFWlN/FOAp20LdI/RJAm1m0e04
N/we7yz818EUL4IcSogab1DjM3dVZGChfttlRXse6+4o9IkPc6dts3qiPBXybnTz+ejxTaSWAO29
JpiQcbpsGs2pfFKWzk+5qvS6uC3q6gT81B9070Sd4jbySMGwmdNDZhJCTPgE6NEn0Vj5fQO2RzTq
JVXSL2WqfakYBsRteiRef0h67XYZtSDDI1hm2ZkbtF9n9Xyka8VZjEOCyzylTp1dLxEGDWPwiAv1
vIwHt1zmfb0UxQGvK7fe0MGvAHRoFqjOrclIt7VXbUOy4HfLrNSbv37y/gFWW3MhOFqupbL6Nfjv
n5+80awxAQLufylrGAxD5pEdHOaUUd6QnbrcGANnQHJZRjmnpuVdq+r2tq5T9ZMLqGnF6OGub5KT
OoVB6jlP6tRt4fN/0NoSTM/AFImEmjzJoU258JnOQiwCIWHbkQPpyqxB1Dput8NE94qdt/fjpH3U
GZysB60DGcFcCYa8DyupZblYpSRvwmKrJSQbzeEm08ttmztfqdnd905y6JnDLm12qHuUOVV5clvd
23bjjHhsjnf6FFl+y5LBDmm6RmayJcbqBK3a3plzr/lVZB/UyOP7GtDiKew0mufN9JDErDA8m2iT
PlPki9l21rZc9cTpeaiWS9Qm+3QEkkX3M4gzivSS99O72DBzgBmwTNeWqE5MCwe6Xfo1pk+ImmbH
e61Z8VUuvNdaRg7NNU2yO9Nh3TkUQxbYmFF8o+Kw1zQ3VHyGIF8IwzVN8mDOVEXFFL94qnOM6RcR
H6p8l3BXmtZSCLrVqhwwr/ac5JRwDNu3PXM38hwy2vJr6TkntVYHdmvK11DDbVJBOCFkgsQlyzXK
K/JZ1p1ix/6sq3hJVO73KAuf51zX/KSdU0DF4moslkaYmRqLWSUuuKOkfywNYzyCsGsYxY/5/q8/
qj8Hj/mrIBlughJ0sIcAi/F+d0RIqOgAJs5xc/ZxYCQHRu9/E6SV6ej/HEL4KZGeUDVwPRxorutK
EOqPhxDDhiLvekJcMjtZKfaVuc4uru6aMeGTkPmxXW+8ZP3XvysuoH/zq8rf9w8HrL5Ku8o0FOWs
zsU9AHyCmPwP3oqfud3Nqwgeod+51pMdGtAgaK4xsWFfDUzJV3XCvkWzfC4V5xR3puq3ebTJvFF7
dSMax7maPNgsYAORzkcnM59tdvEwKQwbdNpSlOt+cYq1Wyl1oFEc851invf95BivZZGg7OGuR7Ux
fsv4rK5r1Y4CnsAzqxFb9blS3/cmfUGehw+ksvR9LoybaO6+Enja8VL61DbNxm7HdqVbyc5QI4UQ
JScU+mDFls2k6tcIYoNmtLhCxdOdHhVg6WOgZYYAEuPNRz70H3U70nOp4n1jKjsij5+mJXky1fRg
sf3nvsxhLQ4NIMpdjAe1t/bpkhxJPQbFHOoBS1WVF0zKU1Z9GuSANU7ysxtN26IZ10O48AlmGd+J
nF1RFZRJ7qI8SdygycIzrWhfBiy0ksqoK6Z7kK0c4CrlU9+hJ8f4o/qL022VKobN05cvtiywq/lt
DUkWBnK3arUDVSmF6zNFW4JzQaVpD8Uc7aaQRcHQ9JeKMgRLeWvPve4dIgiwjdhlrG1uRWWeHPq7
f/Nx+7vPuDyI//BpG8kkDTpquHNyKm7ERdmQ8Hgct8ve2tknqreR/wa7hgDeufgyHv/6F5ekpz/4
BgO3SWCJ8pAnv7gffnFQsm6Roko7ExhYFSfdrzbEDbSj8uRsIH09XBX/9DSsEyLCL/xHdplP6uoQ
b8KLUa3yv/lqfr7YfP9uN1iCUpmxuUZZv4s6zerIUFZLokuk3qD/W8XqUzN8v/r+aaHl52fW//01
5Jrzh9/w0uS9EkVZxMv1XTQ7b7796z/RP/w9gMWA48ocjRHXzz9/PtkLAdOal7dyU3t8P1icOb8/
of5N9Jl/OfW8L7OX4g/EA/JH/Tr1BPhJ/U1DDmf/Gsv7Lcyn/4LRii25Sc/k+6r815u7+4tM8FlQ
Ubjzcgnhu+DXMJ/7i2pwB5NMEl1CUP4RHltzf/5mJ83Hul5CflnkA00BuPLzx8N086Qxe32+ugwl
bxyU93cxmuDPZWbqB7iBvNOhUW/cblDP41yFqwFuNHP8YXl0vLG7j9Qy2y4LfAab3c7aUToyqnEd
rXlSXbIs8s6DoYUnyyIra7DRhnSEpiPol46CeFlNO8X1DpO+sCXuIi4cgLQJzqjFNinGUGbciTRX
7fQljyJxKGuJyeC8FOiFKneSbgWEYn70dIgGmfEyh7lz6FHObLpSGY9FWoIi4l4LZ8oLfZoG1xTC
A5TQNPU9m4B6BC6f+o/UYRlwEsH3djq44YT+rDaat12RB/WyCBmGe44mEZKGYz6XVoekXDw6uUW6
1xdv9DvT0W+EJj6r6Qx7yGg2ZlXcWmWtrmO1U7adLZbDInrjALbLWWeoGtAqtHteyF7AG8/cpllh
rgfQbTtbg7sVWyI91DlUy7AcbpcGf0CVQUykbLHgcbKoO5Ns0oV3SQzIXMPMn47Cg+QuHisjyGNN
u7at7gJBHqt9HbUHQolf6spBPJkR7dJdO1lrokLeVnO3CQf+wpRRa8BJpuomtLUdIHQ4cI3wJ2vY
5l0ayqRQ9UKxKzlPnflOmJEck8puikSBG6CH8TnP39uGc5s7JNLTadrqQ/aoJ2PngXbo4lWjZ9eh
1m5Knf65aOF8GfG+UtQtw3KunjXSUoaoK2Yl1YpQkDi3rVVx4MiPraG9W5aUF9jj/RAxyWgZAkvo
F0PlXL06wtsVebkdDOuUTN65GtVtpPUkozKBKi+0b+YQNqiIr/lC9B258cYDaLNarPlsMdcgK/LA
xIlC/mQe7ZAQ9tKHX3K9eTVGrSZx4L4xnsZ8Mz/UHgPvKazgtlTob7j4z/mlTi1gzxTJ+jeUHY3P
JQqcCWRPHM5FxXcF1reTZtdEu/o5Kw+VBwrIwVx2YtUa77898P99GEtJwJ+voM4vzR8Fq+UP+u1Z
LBtYJG554DFLpcHxQ6KJBhYPW8hRnuwU/i5Yrav0sgD6enLI+UOiyfnF1UzcxcwlbWTD/KN/sIGi
TsWz9j+XC/ksRikO/5ktFF8FP+HPz2KXQa1tK+pyNfLosTaI3GSc8ymG4/fTlnzj1vZWY49pzXCK
Ju8RAyAVjh6UQu7ZnxLXPBtlt8+TZF0PbtgGjpPTO4kZTTxkpYcqRldvhVI0+45dvBeAcFVeYd2x
aCk0Gu9HJ4T2g6IPHImdOcmu7Rhx5IBjb1WKHHg17fsxlQfdYb56Fh6ZqTCCKlrSVT2Vn+ZZeSyt
4sEglbNSdWIBakPERZmvUeweNMcI5giX5mKAlivGlUjUuyrRb9hMP+pDW4AfYLkbdvLK3KREV4qP
ucGlEunaJjQpougNVw1Ln67Q6V7qjLyKRWw8AC73tR7zJehU5j8e7X2hdtC0ykjbpJh9gMYq5rwf
p1LxqbwcNbLJBmnLXouOS+/42CEcKjsRAybIy81QPUWq96yYDuDDzLhNQS13Vv6YxnhLmmR56MBA
DL1WAZYZiSuUH5C6OKfHdx7mTQau+akS+V7L58e07Y9KOXyoDakoYEyQbw2DcCcO1pWigCswsnRX
t0rlG5HtQ8kjWKxzvLc4A191Fm2sZSBWDt2YraKSl4zUOZe0/Vc5y7W1m6YEjaeKB5zqvEWzOBQG
La1O4inaibGjq7M0N3Z931zDDD2WwcUMUU9T08e37T7fdlZGpg1e8p6Xn8/T9txNAA2NkiQ+StKN
qYavKZFaUA/KSiKDk2J6AT+Qrvg5/TLzmGTh4xsj+jaRobyojUj8ZoCqoqVMZujZoUpzz/QbyR+r
bb/R+8g+ZaMB3Llo7qOWuajeAYDSdCHDxV4SLGCEyOEufmtnJkkIJ3AJjG0ZdHSbjM//pWeK7yjm
nrfnI9uNndrrj+PQaSTvWzXoWl3jIqAnJzavJIww6KwjC7FrOCQKGOXE9A1TCbczBelLNRmEq3UZ
kUoHnLYVl0dxyFN401Otv3AngHJRzPHVARfke1iIZjff9F1LmB7to2+NxevcAmMY4s+lgN3sdela
RPx9JrQVrqYpERP59oeH2s33p8FfYBUsNOo8bQhj41ORCpXfndcqY8LRrXjaNcsfUvOrZQV/O0X5
3Y1B/hIegU/KqjwjVSZ/Pz+G5kpMbUK/4Jq2r316M1efiv8FBvz7jpJN8b94R703b+9f/++qT/6o
315S6i8qwhxa7RYDpm9ZiN8uDNov1FswkpHHlbZpxlu/XhjYD8I/5hKBH8Dzvr3afr0wELvlI+PQ
7DVM8hfeP7owkNX9/UtKQph1aot8+nSWkr+7ExuKDuqoTtOrppJVP3Cwq/AewzRSiNJRNFnndpPP
fl8nNZauNOjZqnHJ3U37vRom20LmLZnXJJ37GM1Ttari4RN3neaoTlkZfQ5lBMvuaH7OrAH9/Fs+
KyWgSCxhV+kWMzZSXGU6XyclG2Dt6S+hAwKdtfyxIvlV2BOzIrJgEysqtPfLpnenR3KyX21SY5VR
8hMg5dqJyeIx7iIdbr1bcKMfQwmeB5y9ZAkSRKtguD+EZNNwgi1gJmY2ApN2dcmvjTmncVtG2sAu
86xo3N1gk6rI03EX2vqzKYNwYzn3iGd5C5ZlPax5eiS7ysjZL7Eog0EVknWro899WndBAQNnK3BL
rpZKhQDEbJ+DPprc1Wh30Y7npFCxBPMKXSEeZH+YKdmOiwT1IDNBm6Bp2ZHmtrhzOmd6sgcURyUo
Jt4CsXWNyWPDH4q1yzybh3oy9ZuoKNE7trAF7ZrhVMNEfROVuRaR6eCX1hP3KfTqbkfLgIhZREpg
BsOz4uUQtodEa4C5woU7ulVjLqscTrzgayjq+GA6iq3t6WMo6UaX3K/ZSbVXrTa48PUKR/wkOUcD
h+AQU2bHqyaiRwpReNmoVg6kzmtGf5pLCtZN+k5U+4lWy6lUyfDmzrjNiOj54BTOjaecYYjxQcrj
wKqyuykqDpXePOtKekpGlpS1nn8yRASejqO7SRJOF84FXy+hw6hzUoLNM4g6+tgG3WArSpYzl3Ea
L1j10gr6pmEO4T6do32fh6xNQ5KhEwW7db6It2UaEbVguCVcDbeopF7KKLKIfOrwb5ZKfhSMTOpz
qWkDI5rWvYZgQBaepm4KkL9YoHkH4InU2qRL/NLZYw4p2CLlKPKY9Jogpcq/Sfl4FWne2pmriKuO
jLZbXuq7izls5ygeAnVSL46FjCptiATPFXs2Ve2O/5+9M1mO28ii6BfBASQS07ZQI4tkFedhg6BI
CvM84+v7gGrJJC1Lob033Q7LFFgFIPPle/eeC7Csc9naxSqEtIY4Rzyag4Z2fcyv+jnYxhlJs4TN
bS1KzjIOQtAF0TwOMnHrNfX8F9htMykNmWQ0MuBQomNrULCNnVhpKhVTW4/pKtfmCKi8d7DEiIWq
SX+ZqVWDaR87FJIeP+fkHkZWHp9kdZNf/3fGedOLzK3/X+wfnHGKvH76yQ7Cz33fQTBu6DMwAiUd
p503k+iPHUT9S3cMSIfz8Wd2gr7bQLjH8AK/J1qy7H/fQCwkeDpHIkQXkj4GRos/OOW8Ufk/nnLo
eTJHwViiI1yhwvhYXpDcEAtrEsEhVXFVnwUc/h8HTQ3snVEBvT7SuTFOprY0H81A9nRElYxOTT8o
/UM1WfWtE8j8ynFCY3Ijve3ztZ5ZzV2ttxoSaHwUKzOIMLKHyu0gKF4HH1tmIkQMFdE82uQQtr52
aDvz2k/Gp96fnkSAKYnpglnb6Yr0wo1I0pACHOuBFpurofOWrVKd0NoHqlhj02caXru+Oj7FJVbB
socbwKS4ppdPP2Jk5klzyV4nGSxCJbMIRm+dnfSratH13rZIzUvZGZcpbMhlrDOa9Ibzya4Ay3Wc
a7LyqtDFY2BHsAk9zhpZFrULlH/Txg6d1EVIwXhSGpeRaZ12dn0vUoJ/zSw5Tat83wYxinePxo+s
LXI+Kx8EQV/YbjHFl11Z3JRyKs70qssXU4beuJpJEGzX9aKXMzwggdPQ6KgphsxPTjM0Z5NV3Osm
VrVaU4tlq1avU12N+FLnJO+63SZ1tFHJz9AQihcW6DIi5l0pG3hvQqxR4QJYgPPKL6X1rg9ffxtm
/JPshnaROfltFsQvKIIvbBksMdc9a3FwbeYAFJsmkqee4e2AHFyEBR6XzrACF9AIBFMiJX2EUpxB
5GVgmtew4TCLGNaLmWf7CZ1JMdrM+VUbYQFRBAsMDxGxLsMedyabeQ9lIs82Sagwvp8ZxA24fKgH
t5FZM1YFqrpGNL4yC7hvholnuOcUGaj2WpZWd97OfhRrrG1Q8nLXgEe/RQ8yACZvL6aOs5ChB+fZ
hNWyVFSsNWN7U43RF6+D6GkG9IDYH9ZWZd+xo9xbnu8KDrRJyqo5zL+G2l0qo70uvemQxCG2BLF2
vCMPa34uu/Y0ceIjFN3H0MQCkcUTrK0B3CDw1IagvnHfmDx2mhGd5oJgn3lzChT7TrEwAzVGH7pa
NHiuUoVriHjnRpEedKfaUzgeuxo7RjMTOHxLrhW9fJSKsgwMcZM2CR7q3DopOvMwzmBmSAx7xWHm
35U0H7z6GlTFF1MZziqzfRVeel031k6zgF93MdE0gUWYWeLU1D3cB+SDLwkG3IOY0E7aQwKxIDMP
fHhqrz64LyuQMZqaHoSnHZlzrem5fVEUz7VzhxyNALBBqqfHhhwY1OW0LdImuwtMZhscu8QCsG+y
V5K2cI0Zn+zhs8dVnD4hxoxXzZhcaJBpEyUHr8XMkuGp3Dr2dJpkzVmrxeiI5ENvpk90I04mg4v2
4iICpZnggw4gVNeJupG63OoFPMzQI+yI3tAikyBBxxhKoZjzbjUAMEZwgvFT34dzwVS/1U7DXEaN
U9aRC0Rp5cxFlka11c5ll/9WgZVzMVYmarNBc8EIfy7VirloG6jeGORo58Fc0HHPjUM2F3nGXO6Z
c+E3zSVgNReD0VwWNnwFq34uFbW5aCze6kf/rZbs5rKyeaswGakm1A6UnUpEAfrfNv22TRtM8f59
m77FVtn+zF45/9iPXdrmyCYEggL8hggXGIR+36XZwA3LQWdgoEJXpUmf8vs5T/7lqJzz2DhBMKBy
eNeM1P8SmhR0Bdj8tbc/+oNt+mMPgFYkBydCkgybGawxV38fN+lBVfyuqrL2nIhRd+5b+xBoQjv9
9oD86/BTe0Mbfuh5Olg4Sdamn8GgVf3c89SSpitN8irO1dZwbuKgVEwSU1AAbjkdo/3T33SA5DdO
V5GIkXvPMkEUp/5DkUf2CYpqZ69ZKefIb8pC1n79TW1ovikPuzcVYvemSOy9EtxNpBHQ1ckuRKmp
JIc+SgipCYsiF6u8T0Bd24pPzR/WXnaPr9pZGXT0sUNmz0Yi+3NrzjeVrVokLmKjBMaQN+huwqFG
SWpU01bY5/pB7TQjPu2S6FABUllAehvcwDlSZb0adfGSlf7aq9Vri1isDDC9oZiEr6l8CoQCK0cC
p0lxW6U7b4QSoMccc+oK6dhYfg3s4HIqYJqK4murd1cJMV6rXlbRg0WrEpF+3J4pVlEBBDDMkyRk
GIJ7fjVNol5As9W/yqjOttLD7p01ZbFKO7JqwkQxVqK3z3Ti+eqMBtckUAD6eO83TWbdjJpyn8Db
p/sYYCdvGh/sVKujVWU9SVfCVsMV0DP+igYeNeGyN5WkjFiadhZc1n6nrFqmHStnUId7osdHvkVB
olcdY4qXSjUuI2O6LM3GxjoHLOPdu/eTjpngJftYcIJKwSOszRppWnUG78z7CTv5AshCB7s6r1fs
Atj7rqYrFHSL0uWIu/W0BfrGVbqxVkwukTXItb4SW8/9/2L4r8+68RNpA7NWGvzG3GJDqvTx90AJ
3Lc+6TvnnvBPEA4PbuwDCSt6yczRglRVkoG0roSJLgxg35lvVd6Jxj0CUZ+6ozWeOx5TT1tMj+CT
nXXNRrtummLt2dMj+SvGgoAD5MjTcFcmBarGqsRSWUf6cugRUmpBlC4MDqSjDrpdy9zIA2UgbVzP
hgM0jS1LiA1TCZAcDfrO0JH0xbNtRAh6ToNmkdNw6Hv/VHgcG2MqqeWsK0vTqF7yEp/3A2iw0o9i
bHP+jQ/nStPTs3agEIOtsVGRptLiLeW6VaOrX9/iWdf19yLCecLBOIQXiPXSRAXvfBqcOJPonSL1
qnO1S6MNCwFNjErNXFSVKzKeJCpCn0PVjxX9Z0/Vx2HNP6/56W4qQ2dVXezX56WvPxhe5Q4tkYZT
bW1l2p7lBMEvfJPqyypL10ggbBgyGxHT4lC0FeM0D+17NaxJyayVr14s1wx5zghXvlC96dnwy8eU
CA9AEWXxTdPyX+tV567/uIP/4DPO9KVl+Or/RK4x/+CPXdn8S7Uxbc0dWNViMvFuV7ZQciDu4/Q8
J7HOyqXvu7L+FzsmFDdkFLPFjRbrj8OzQMkBCwG/FMJEY3ad/cGuTN/zw5POr8RfxpwSvQgVADKQ
+c/fqYXCKArqAG79GcsL/C+D9qHfuK1pxCdpyEmPvLhu4sFckE0hMI9mSOnb3Fv6Qeaf6m1kPcXB
bPkuOb+Wj5GVaNqRELUCy0JHxNOi7jLnAGFwOvH1Ngl3pB+Ia6hTirHTahUIiuMozSH1dO8kHk0V
N3ccR9pVaJF7tZ/8KamfIeSY/VmlFyiNihRcEofTVxQG4TLPwjZxW2m3nBkjW1s7pR12l4Q0NjuZ
CJpVOKhj+D3q2JKShmWBtydQ9wIH8r4qS7h/GZE3q2BwSrcqq2bVqmO4N5qRk6I3FS3+Cc95auuM
ECtZeiTn0R+Z3DgL2mMgjDl59BEK/XNk4sSHLpu6hWm8Fk36ingFMW+XlvIFka6Lt8QVpd/vskk1
1k2stI89IXuLTqhh6PYxWmDbQfMJH9S+05SQdJu4956HkIAETMNih2UvOKXRkW5jrbLOrbIddlNR
lBsJG9etuqmhXUxRYNhQjIYKGb3T4bkO6mLJNugiifSWdpPu7dYByuhV1tloGNMulvhNsJrAFAdG
Z4UlyZ2+gOkDK9DN6xZQCl6BwnbgYAXKxu6mbaKROcg4ZwM/h2iNOgXL6FVytnfdywCrYdxPyI5x
gGB8wMAN46GBhHgeo9ZxkaYMxEjPh1tAtqSGFeKg+nF8RY9Gv2SKmL1GqqxO0jLM7qJOViTTlC/Z
2EX/rVrfiCuCauTfV62z1+wlfw6zn6xa8w9+X7WEwOlF/LMtGCp+OxV8P0sIOVNcbI3jBEsQZq8f
q5Zk0MR0D6kBg0zit3QWtO8tP1KlZ0z42wr4R7g4w/xU9VDqGKwPoFrg1rFNf1ZMW8BTbRyqykGj
owxuCiiHnF7JnvAXsZGYlJEqsVfRuhp9FgsQ/NWlU6XKhbA6UoRBpWbWpQ/uwQZ2OsJ4qrXqDrqD
NT4bCh0YM/DShZg5jaREwW4UUNz8uuefOEFtgNVVvF4wHomIH1ZdoTjrCgAkUHz12S9hQpZiKNb5
zInsW4iV3cyObHL+W33mSbaxqB6LN8bkTJucgs446TPrJIoq0jzw0xoB6okaSGUr2i/pIAAjzfxK
RuO4V+exN2jLcWZcprw+tBq6c3vmX6ZV5K+cmYlZjQBZgR7pCJWRA+eYdPTRiVek/0wLMXM1J/wV
ohnqI4U7nZexSR5oo41XmnYXyjoEVxmfh+QRgZpyLhCwZQtIvmejShPUpsnSQ6upQ3hqNmIR2STN
wu5ggFozDbSx+vAkeyOEzqxQeBPqqn4DiFa0HmnNQBXtCgxT3BblIGfmqAFSKmpy3W2IvSpnLmnc
5cPFRANok9UyvhjAl+YFHFNnJpp6b3DTeJrCNc0kyLquniXwgWcMajUDUcFnoVEBKGgvQYxATI2C
gOwXB9nUFcOUYtNFUaGueLCzXVZ1aNFqWKaeqdhnoewxJKDsO4tNfjg708rWu9Da4CEJDEJfMvPJ
rzA59DWzEHQ8D7HW+CuvKb7SsExdIqVPEy9I0fsRloKNBCZ2+jWAHIa6vDmMAGTn7E6LuY6NXDDj
8AnwcFd1pXUiDGQXHVEYQQT+kxznjQz4H6eCjzEYrb2QYy/AZ7VFzy/QiBbqWdX1Qp51ZHSdjLoF
wVZP9KNh1HAnKmTnar0YDN0VdYwGPCK0oyodID08aAfcuOa6Ko1yb0raQUqOFK2aZ6j21G70IHmc
dRKNiuaDJMv6pB9SHQGdr60N6dnnsJnXSuq8CKU+NaP0Im/bG0/Rz+rCEu1CKMX5qITjjmPHzNuZ
toqB3iRlgHStRp63su3XRhn2YYKPRFqnY4Cm0oqCTTmMK5PxKp/5YI/ZqZGmj1On7A0tPE0DyA1h
a3hnmQ2MJTULfd0G/hUDXx81YrIDHLaNS26SHdBV7EO8FJHlLURsP/ltzxtohoehyzsURrT1lKZL
2W9LVzOTHVGzK7uqnlKiSntMVoBTv5pWyNKSrpkPrAsy1NUOWYYvEBhxlA2KaGd1cu+gA2V0jV2i
wU4A3OLGRhBK+/fG7FR7XMRObsKScswTzlNfi1K7BIm4s8i50dN0RXaeznY47A0ldgEAPAWmvoEU
uCL5tSB/knT1OLu0c/HixLzDaUIynDNeSoUst7QszsZyWiuxdAvuMT4YcMjUGxh+3G4iRQyWxTMe
7GuSu/EJxNGOY8KR3LdDalMDEd7lDfnWSonA87l8YqgXaTacj5zvBNawzCOFhXikYFI2tJ23SJHd
tIi2Zj2sFWO2VInw2bRbNwHfqEAojgNrRSwuWWMqwEI132gNzMqo9Y+ChPSw87cDms40V067biSD
M3wqW8Dx8UASS/oVuoPr0Y5AF+d6DdG1yWvutZcDftPIVrejiu6lz+6NEufUROSh5Broi6QnDphq
rurGXDMAgUIyXMrBmWNLxdJJAObmyDZTagiKOJ5AT8H/rq5J+P46Il9nhVtDunLrgOAhG5QzR+kd
gqftMFX3qtbQrLWvTLO4t4P60ieHqk0pRIrXUlUxhw7awtLDdWgW69obl7EvV4E6ur4eXOhVcJZ3
+iWn6a8a+YmcHBcqhM1CVbeK023tWlmrQXIVkbHYGNoNQxIEBoD7TIKGPKXb12q75lU8rx17ren1
ie4RdDaUK58QOQYp9ZLDIMRMKZ77Nr/nrwLthf5zrCXq1oiuihX07pj1T3ReUG0p+6TJd5Ni4ewl
ha0jHiBQ2CSCgmxncF6or0xrI5ruLm2zx4YOwkiGL2cToAbgvsl732a2sVOHlCGP4WCF6+77Sr3L
q+gS9CikmoG+dct356z8rNlajcHTaW2woVxkebIvsK91SnuVhNbWHrwDsMtdJsl98rSzgGPrImvD
dZqMx8KboS89DQz7IqqcU10bHgoTW2KFiE04JCJWJM5W9SGrjUug2erC1uqrFslSVzBQryYmQEZy
mhg+8VilSjqWf1bNC9WU349xsxeVsSmYfbfI+SLCr+t+LnoyUDTZTVWMJ5rI94qQwUHxEKoB6Uiu
aqpadxLNCWkti6knMBuovKJELxCdbqImhRZDeY9qpHmY+xxixl3mwNND7cVMEYg15X1cBTtVaAfW
W+AQVYzist4TBs97mVixO6naQ0APb+3o8XVaNSQMDfEm1rUjiuyIuRjiOqK61/jkt15sur1QiK2b
crfDnk5wl+9qoyA8CctfkB0BU5FKOZwM2fhSKNiZSYpsKgNlAfQo5ipwvDpr1bb+qgoU+hlUCHHT
umnCJgH3ftsp9kvXEbscqhu/s9ahOqwQvrH+1Mho/GFaD2m2Hxt/XzXGNXw49hpAoxl9hyaMXTIu
lZNMSJ512DyIOSot3yVKczYxbK2r4hmPIu7MGrlAMpx1EtVfqrL9vStpf9JK+dhrxlVDhciYGJQw
VgcH6sXHM23TV1UFNFk5kDEV0j7K40sF6M+vL/KpRfT/i5hz8ImktH2TNb0/OCupSvtIUw6D/aUC
+NU+DDnI7GUKa+TXV/pZwYt76ceV5t/k3ZVyj9zYyeNKwj4PJIMXixD0aZebt1H7GObmb+xaP/32
eJtQQzFWQpL18XICfpntJbl/7JTHpt2X/nOWPP/5J6JapljmMjro54+XIJ5vUB1UKMdOkhiwaWGS
JgGdP38TItAVzW8atj/5RMShcGhB4og+wJw7b+++wJl5J0a1CY9hhhlPB17ib4r4N5/pYyPl7aH7
cJFPjZTaUxrD9LgIcViLpjqNnGD562/tdx9j/vP3H6OZGKYC+D/C+DMx38b5tQcv8NcXmecw7zqf
82P94WN8ujVFPMZFl9bhcVD0BeZlJzzKsGaBezCQCdQH0da/ueLPPhasSbpdhokL9rOfLGYIFGaR
Fh6t8gL/h1skO8v7+utP9bNrMA8yMUbxHNC4//jVeYaumHZXRUfC6tETkhmQu31y8+uL/OyrY/iG
8k7XdEt8bhrnfWBZYThE3J+HjKBeToowaReOdxW1ewkzp/cufn3F+Zn6fLPeX/HTzcKmi61fG2Fq
oqfu6jsCX36zGMz5Mu8uMXOwDM2ClCWYEJq8r58WnzqXAJkGLT1Gp8j8d2yeZ/SPVsZFcGm42Spc
266y/vWn+njJb2/S+0/16ZLQUtMBxlB07Ex8vKgYBMhjkW9/fZWff3dIhlR2ToMRysdHwpwQxDaY
lY9e6bgCfKLd/Oa7m7/9z3cH1i1PG9F186Do4xWKWoQQZVG7WRx9R1tQbT6GEr50FP3ms/zsG3t/
pU8LHDL8vEIcER014zWwLwzvqpx+s7z9/BI4+uZQvHk08vHDhFpMKuXkx8csOxgYaIdQLERr/mar
+9krxMP24yqfbn1cdUEz+lwljJ8TBV6BsprzkePWjZujEm8S4zf36B8fiwkxTXapIkfDevM5e0A4
nlWkVp4cm25TVvRkV+V0+YcP2qdL0GZ7v2xnnc8XGpTJsZ+yhab4CDGN33xt/3iW3y4x85GZ1Dv0
2T5eIhqGVEk4aR3r5FmZdsiNfnOBfzzKXIC8P2wCBo037MsfL8DSaTHgm9IjdV7aAjmOdiSFord6
ffuu/pslzXOXf+/KzrOkxWuVPVUvP23Nzj/9vTWryb80nSMuSg4U/fP852+ZB/YxVjNTqnSRQFiz
DHwfKBn8CcoQ/Gb4MEwekr9bs/pfELZmxy57L0r8PxwozV3jd6ueAVUJXpQBQhHKNw449dPj7gB4
KmjaBudKbAscVcD/bAR0O7Nj+esqHeZuUzbUSOaoWJbrx5ORApcr6+hmjOJo5Ux0T86zSsgls0of
ug6czu6CfOl8fGo1qc30oKGc6B8MSRcJuE/0sdEGgNJgIBxbWjntiCOr/HrTEFwTXNkNaNvKwMeE
YAHDMskhU3Sd5kl3IxHqCzeBcnUVaNQhSNWjYF0AwZryJqm3yKLppRitdZtpHGEXY9R0t0Xq2CjK
jWIaXZlN4F+VusxIPi3sox53xYOeltGDYhTGlpFbg8SkS7wDqh3fXiR2FJ5NdUnvJPWmlBiw0PRc
Jxe7zFdTN9WjltBRKz23zKy7TIVJ7DA9Y0kwT9ZtW8UzUKSW9qNAez65TuPkEwf61gTdaIeG5Uac
KS8VDcAP4URpuAXcOj2nQtFJepdjnbmjWhoVOkrHiPBeS72Nc6Lu9YakEm5IvQwHpXtoQlRfq7gD
Bygj+p/ZimqW5JXVJHBrFwuAltAkt45v85+NReVvLLWZOJp30aPuZPWFY9UWPG5TcxZJLYNrBonn
jl4XPWJcvs1jhhpIXfm1CvfV9/K23OHKa72DHYroIU5qcT04bYJt1pwpY32mhslWfQOQMfkHRlYi
Fh9IL6Nj+2r2tv/qzEwzxHEe2fEBsLNw5p7VCgS0VCE6NLbD+p4UtaI6lAp6UpNx2X8r1zcBOUvF
v69cx+Tp+bVidXpLLvyb+z+ngH5fscTbXEhiNSXiZ84c/HvFAmbASgaF0ERhPM/H/16x0JxzUqPl
RyEtNXX2pb0bJqEkk4yhOMwh1PiznMI3DuvfdRqDdpa++aA7+4/EXLx/3NxIBuwkfvv+0GCFIy8D
+F03XoJphpzs+IdUK6NnKPYZeGz9Wm/0yO10xbuyrf6rEqhrwZ65mHQFcBmcYLSihMhbIK3Bh32p
fPrJQ2Kh1G6zS+kk/kaFarDpmc2SAYBHtbC+tHp4ZXbTXUBCKMHsIMZFId0B+hU5O8WJPtvCUwtu
OK/WekrEFdda9o3WLtD/BEvRjuDCGIG7vKFnTezcEH1AflLsv0S1fSbJolblcAiIw8st4pXowF6I
QFXXpDF0ZNh0x0FY+WpucSwsgf2SZpDr+YLZeenqZRvtGAOGi56MFY3Z2JoAwZoGF7iFFsfJSo+9
jRknqHn01NniY7+uHMZeo7NsdX3VFjVOI+wkQN/H3aThl2yywF4QuntrOC9or5eVGDDmpydW19wD
agvdImIKQ9Yc0uXRSxZmh8LFGMbXTs13nWaBnVWY56jBra9hucfu6yY20ehItoG8TttIWMyoGJGT
LOnn1S0rzpe2hUWUx+S+T0uIAm5ZazvIXRdihDbvG+alzTfkhVDclByEdJKcV9K5NEP1SzxMQPhU
R1sgCGOobvU3qZAPEcHHorDw0HYZUptW44g8WHu0t9ekH2QsMOpt2EUJaxcYd927KYbqvGiVvV9B
6qqThMCI4HHolOuCpKohGC4bx1yDfb1vleg5cSgRDRjXblWgaJ4w0KxEXX61xvFKbaH1ltI54zad
9pG1LDHxevKrVoA7EDM8v53WhYV0T0hyHQK69tGcWeNbmymyjEWV5Y96ZrJJ1aMLGftJtj3Pl1ZS
2c35iF2Tn7JhvXg8kU5FZAzKuhn0CgZj3OZm89IpkuNYoF8b2LT8EP49++5RUxEDcEgYlgT9BYuK
nJelEjC4GkmyXBDheRs1fElThgnNCJjyyVRcNmaxQmdFhz+tnBWt2OLEo6N5Ltr8dqgfAJvpvHMP
KR1WoJQAhH1ClMD43+TlOIdRVs7Ogx+GOa0eNjisMDu1vcQqqEWrcWbbhkrx1XgDRoBdaLCZBV40
rpo0LqebDiEXZmXIhzW9fxRTV5mnF/Qwff02lFG+klp7xWkfr+8omRtJIHp9t2QHj+gfOJux6Osl
W629pOGYnBD1bs3iRw2nn/6Qd0ZEk47XLQl4pMlFwNE8oGbApomKLF36tjNc2cVgLvIgOAzB9MJI
dsHY1V6ieFirfbtsY4CSE1TPVQZmkz3MJ8bdOh8kvOMipHFs34VGtg5sw1s0drA2m2YXwrFk+LdM
hvyYhO266BSw+Eq9By6BGLRrTiTCnfMkHjD7mld8uxqsP2iSUXUcyvbGiZ1tpcuMXbn/UpvyNs/1
+1S10L8xLIgSkipKACZrjhi3SP+AVkyohnD7nPde5yzQnvYMg5JTFakM/1aArOOcUDbGQ6GYRLuV
HOj0+Os4lTdFZN0WZXiWVPJLVdPQVlPrYDbOidnmKmqbgKTHskdE2PiKq3raF3WILm2RnXLzyCmK
sIM1sXWTdvhMpkRvsE/bwaqEeGVOilzieZ0IrUBi2vAyjbx61jRTM8UO/Wi3IHPxEoLirhXaiapZ
ewyIp8gHaKnTy4cXZqJ77Mju0MMU76SFvVCmGkqiuHlVAhIScqeM1k3rhIuioFz1HAWOYTtuRYbK
3/eelDE9RXp0o4zg+LVhfCYfJroacXK6Vd9vi1pmi5S5/NLyy+c+x4OvVCqJXWl2E9rmPiiK5xDQ
l8vQMb0esmqrZOKG+WrqegV3I7E88kZidWl7NstGv0OxDOTbbHHCszsUzbMjejQ5acKzVqdtbywS
1Vcq5hgaaD018bMVOvGa4VVTO4Bg8Vec/VcRfauIOFf9e0V0Bs2Q3so/CiJ+6HtBhBzfodZA9Ifb
GSENf/RDXUNBZFgwmQU10Syi+VEQAa6niwSC0ICXyVGOTsb/66E3pD1HN5AiKDyE+mfUEPn5AGeg
nbctk7x15POoEsXHcqjMS8lqEgVHtn7D3pZveHjDOmhwx5Gf+m/s+PgbSL4twHtD8Z0J8yP0uWpN
mCPk+d6cKfRkh21hreveE9zSSEXrmyXKng9dI0NG6KCt/Ik0xaNE+5uSsyGDonOh7Az0lyZjSkI3
qR0PkCnRNzqpSKNJ6gpFvsNwvRpbi/e7ggy1tQgkIXUtMpSFPiDW3ZZ+5UTkM5PzZZZ9Uh18MlNo
++tjb618W81Jl7FNUnGaVnk1wCxs/nv0vz36v2xjnOU/1ZW9b17QoUC8RSNJzJX9/Hh/f/J5KUza
GRg2NNNU3/oa35sXiMfAzOFABUuOGUXSFfx+FCCJ1KQd5ZAABqhgPiX8gRqWcPRPzQteLZs2N2Eh
gFyYSMx//m7EUk+0UlujNc99PZtOS6S5BSoCOyjlUhn8DmLL5LUC2goH8wQ9pWflCKNSwmraMHoT
gqjJmd2GasrY3+cavluDVpGM9Vvc6CtSEAVyqqk3Ehz9DQKJu74lumg5qb4kuSsG5F3sallRODid
YQ4XKGyJcwmU3F9bRqW47ZDdCRW5B/q7LVYKe1HX5I2WHXBVooZSZltKvfZa9TrKxFmVmfC8UwrE
Ub2EPIJXQZs3ba8gHCvdZ6V3qvXD7QjsEog4RsiiSDdtscM8iArALwSxoFHoxhZdjGSwMGDb1Eyt
NwGMHaa71HIo/LCqJAC6lLaOF8XAnJkpQgFFBDMNU2gxu9TDtrtvUCMtyFjep6FqoAUZj3Wejeve
7GDFtg4USnL8XN2ahmXcMPUHTTqtRoPhNU2vFbBoXB2tRsia3b0octiTtgN0B10ZnRTtZRiKHMh4
vQajvg0NdB2plpxGtijcsKpuW4NUq6jsT+uWZnIXYj2fcv2K7NZ1abVi7cWemypEvnmVV+yYefiL
QebnkcgvSWxw6RLvQ4S/AYS2RYetUSOEc2yTL5IqcFEF3bLRUeol8TIJJCylwj+R+FiqwiZ9xoNQ
RHEX4YbN47U9WuSO6c1ZqmC15OAEyBiwt+b7dy3WXKZ6Dok3ox4uFdM/spwBu3Ual/L1pGu7aFGq
1Z2fIxKbYmM/jtpV4w8rk1YYQG5tG2fRpZ91p6GhL2MrbBemOZGGahB2W8Cp2VaxF7jq4BzBA1gg
9fTXPNFqKHngxowsJ6A1azaBjhFUj2/oGN6mUQmYrDwoVCTURrEgfoq11U4i+jvkfVog4ZAQt6r+
oBbE41oYBbs+uRpig5ZWOS7ImgTLYDNKHOuI3DBVBHsgzeTKOxMVfd/fZeyHy0g0d4PX32qyvpY1
JAciSDbIrg9RbZDtiADOaAhIQvdC1lvvtlZcLMtYg9pP/pDetFdeBDYqp1uFysXf+bX0t2VTXrbm
9EDl/FgaOJGHkPRJJwpLMt+l5kq1velCGoJaDHk+N4MTRclPVMt5yvBPc2QqhSty7Yqp5Tqs5DVn
2Y2i58deJf1yCPUrurD20g5UEEeDcu4H8iy0CsXVY9JGwwQ1pZVtCLp/Sv1p2Majv207hNJKYKM7
V/B2gu/IMdxkD1E2Z3fONPxkmOy9o47E0mlIMNSpOg2Jc017sqE8AcKIbAZzYSr9OqnHg6ZJ1FIB
aVRVeY5bmoORF5zAtUpWpja8xqFzGUlSVUydZp+WDCAOp/Frj6mFNgDtB4750mU+hp+7nmHmFoBf
j4RNmL08OkBgCH5XyMorwhGlVm64JKluY394MoMmWzVmlhEm6uBYLc80Rb7GaNogOBHIUs1RYwac
R1ihXysyyPw83I5T/pC9hZORUmbNcWUFuWXqHGBm03akk4GTfRBy55PnspjmwDNNRGca0PORJLSR
RDTyIpAGefs0iXZBU155Qfm1mSPUCAA8HclUM5XiuphD1nScbgt1Dl5z5gi2ag5jI2RlZc3xbBE5
bdkc2Gb1lOAJgCZjDnPrAcCDnulvnTnorc2JhOnm8LcsjB8GOj+8jsM6ngPiCEjJYYMJUPhjcCf6
176isW3NsXLZKPeBmT4MI9+o5qB7wsQGij6/fYtl12vwZJI5nQ+jcIwtZEU64qo6p2KXj1Olfu00
HgYMzNdFxQ2DnqsvjaSpWSKycl2m1rEjFpJwdg0oRq+QCtGdoyEksNlEchwcplQyMpMzSLhT6OIQ
lQj9kwawre7aPEbY6NnDTvbGlSi8+8CCPl4l4Wvao7zyZI/Xm0HVto67Gz2jjYxWY0LcWHUI1P6r
kt6qJIOS+t8PCNdgBcNm/OcRYf6x70cEBPjM26GczMws4A40Rr8XSkL/yxT6t9mP4BTw/yqJUwCD
HebMeHYhMzk2tdX3KonzBkNOhjwcNmx1brP+QZXEYOJzlUSN5rDOCIf/41fhSu+rJIXZg1mW/2Pv
PJbkRtJs/Spjs0cZtDCbuYsAQmVkZKRWG1hKaOUQDuDp7weyWUWWYN+6M8uyXlQzydQB91+c8522
uCy12jSP7Rc18rRUPRaP3aJTHscB5ihpvW/NgIq34ukFn3TDDUSCp/M6DZhu6j5CsV1smhqKNrDx
POhN50LtuOKVlBgVWK4msFJvQNg5xRu9tnski+CjlRCGHYti/IbVqQX+rdgAPi1Pvpu1Uq1jrrLe
A5xRuclhNGdi3glhVWD2CLWygio2AOh3JCd2IX/nTIJQZ4T+ohevA1C4ucimLVu2V2XUNjFj1pUz
RjvH6SAwZOyXspjDopFPxH/e5bj//TTTbgyre4zwgG2ZRrpbeO/2KWIpzwiJWWhvZWKtTdGL48yE
B1hMH1zgtUminyoTDEU86zeMIJpV3CdXo66eFar1YXbF1hBIOAkeNEmE8IWi+KOrH5iu8q+9XaGK
RybH+2rsCU7OoseqtR+99NWQVaCaxlvreW9Cb09iTh6sanzLTLcI2NfNAVDIS4Uvlp2Y3BUxA7y0
U8rVrPQRxIHkpk2Mi75WLmajCX3ogAh1ddKprMYt9qlGp2Vp4DSkal4uyu5DAwFgZSlAD8kOO6Sx
HW1Tpbc3TZQDB+xVqB7jHZiTMwjpRLs4HWB06hgk86d6Mj1/yhp3L+pS54CXOIzSKhBJH/v1lLvb
zIlFkKrFsLaHcFxbPYYILedvnUnfiUjeh67Dyqe/tNX+pJLJ6LPeabaCCdaIIGyFtWivg75dEW+J
W0HOFCSq2BcKTnChA+7jQQt9WQ0H9qkXOAXYKnbiNVXENVHdlzJS91HqjL6tp1tmgpArgDtoY7nK
ZvuuozZSi+ie2K8P9E2Kn80wpGgfTEwbpLy4/fxYpk0dRDqDTad+UHrUU3kr7xQP0STvyp4xV5q1
MWQ3k6JPa2bw3Hla9Vm0SuEnVX00J++UmTgtumnE1VtJEkMHuR7dsToRThrxrAgXzWmChJrZnez6
fpUZYnzpQlJY1ZapkCEwwhlZ+tAzbcqTO6PTcl6BCXE2sGhNGCC+24HtAquEXVmKejdqeugblXqg
uj2aJQOlIk2MgGb9CidWvJ7KZg4cvbhIlnYGj4ANA83AsRrNi7D8JRsbAscM9cY0zpTpM1OxlSmR
uGZOuzamMQ1i9OKuWd0TxfeJNCNF02h+ill98lqP2WF+UTPp1m3NWVmtEq/tKQZzUTTXcd++5EQE
sIohymc+M3sv94XGkpjXXrpyW9MX7vSpt+I5UvqDrLqrvFaOxDOC1ii7YM7Go+ENo0/Xwuy3XDwP
TNFWvRcza++6z3rpAfJR6kxQnRdSJZ7xTYK/rBTS4qqxIfXCtc+6njqyxS7k56n5yKkL+GwSEORz
+60jfhCogJ4EHMiHVhEj9qG+38TzcNaFxgCcJbq24/ElBclMUY5Tt2vanChhmJOt2exs9GlNnMCQ
icebzmr6BQu9zsdYUvACGStLS/DQVTwSrs30NEnX1RheVMvawezD0XeU6AYOGKYZ74akoJ0xEmll
l4sXb8qvw7q+iCKt2USdmz8KSVkcSrKHaL9ZLS8PtpU+ICLACTXIbMOxajKEjF/HkqlJbxI2Kssz
DvTryayGXYNWK+ACuKpN0u2YbgeDRUpgrNKbDa1B4pyNStEtz+LQNv2syc/JLbpKsC6zaqfbImQE
R5bQ1uCBeN9huLFYV+zmsn9tKzhFXi1wcZR67Ntpo/jMiz49U+O+iEWydT0ytafq1TZ4tpucKtYs
lm3QSEADXVd5oTLaXomqeWS3H/qdSxdUTIzcwW/CeiObJqg4s626VIlJVgGCdtUrI90HhuWmL0MA
LDDMqYfo4rjuhC8NI1t1oxptQCbyMx0Se0/8CItws1hNsZnx0GAV783hDln9leROhHnG9iWxWtYe
jhXhmJh4ueHOx4nD29x8SM5rZZYB5L3jRHexBO0BNlKlXCmZfYcXdbu00VZlXaZR/TGy21+1ZvrI
LIylnFCWGJXyHBpGA7ttPnL/owVwyiWUfN+RDumbk96vM4ZejzBu833L6B0/VxPkpfGgTOapS7p3
2eQwgdI7LnuVRpe5Gff/vk2iE5bQW2/OdoZCeehAUl3lfYUQwgRNSD9PegcDksEE2iqWHHLHeUsA
4wawoyK/IQB8M1XutRYWzdqyYrA281iuGTIkPCt9uFfF9GIrvBg60qxIknEZdZPL6IbKWRJFLxTM
xIiAIBjTels1Fe/v1JekBGsryD3RWtGstxqcAAzV5MlUaXTSxr5Ue/u+Mu1tWOfjbo6Mz1Rl7GcM
LEx1XQCSH0uWJU7e4wpiZKEir14jQGV9lUzeqpm1J7sdLjwTVhJgDAyxTDaCeDKiIHUmSRBt+qIy
W8kSGWNaC0ldGpgODOwO4FeSMmJCDTOs1Ccwc5dG2F9ZynDfddhqG33JxCXYZW17Lh4CcFEsLMRm
QFTD7H8YggoTSZWhFJsU+4EwH20VRYg+ika5jYW8E55XrcrE80GLnGNdJEeyR7gYtVXDvi++6WwG
E2He7fuI2MlCZRlc9rCeAPQZbbfwhZXeb2yeJ2PoNmOk5IGelXuFymnRvqjYC9pXeMPLTpjHHq2N
2qa7xlalPzfJh2RAq9T2p60qt4rhcgkUzuBnXvbpkAIT6Ln+Nkzi4HGTrybHemsHZ4vWRQRlpJ2R
TFwG3ozme7Szh6goyMUche67ve2nhIpF4SuswnMKA3PlmrSdWp+e1ZYgJqlP0wtyZ/ZhQ//sutlT
hLwGEFl6q0EcW7FYvXZAVmOcq/amJx9Gai6cnHPNpqwq1w3xSv5koSdh88e3g/EQK6MgCLsyD25T
QXGbCKJzmBrx3H0Sa1Asjp1xHWXGhvnWYz3w6MZCu2JvIrD1GUfDTrp1aUFw67P6xk74HVlMMSkv
R85pUR5HU5QbYRM57nZvZCK1vpZ0D82IRbHo1Tum22fjlN/qjP0C2XKkOurrMDDDIPnQWHk4KUn1
6s9rElxLdXRX6gTywavVildt+uFRG0NJjpeB28dciDNymnDbiXmv62BmWFGSYn9XD+wzW6o8J+Po
Y4rZA42RpIXmCV9k72zVUXzaMSWdU41shKn5hlTzkzx97LFHhmEYxFn5ErrZa9r1J9NsgAJ0WhAV
4yYcSm5Ko9lh9YGXqa1Hi6Y9bKqbsSXu0PT2nqUA9E8vu9nwJ6SwrIKx2oeLMmI4F2O175N6sZ4N
+lmbagwYIkfPrvJyth+nKrHdi0axBt5gIQYmitBmvIfV8Z8e9OukHr3MX/egFy/1yx8b0MXq8V0D
ipTPtFDHIv1GNP9dA6qTHYornPZUXfwUSH1+m9Sz0wIn4SDz4cpxeK9vPaj7C5Idj78x/oXC+Ds9
qLGIhn6QGSLaQVFtLnBihv8oDn/sQQX3sWmRKnSqF3mMpndc9EuSQk2kgpY223DhtLL0D8K6f1UJ
X0jsEbY9cQytFeZUUsqdNzSBugQ2zPibLNyeOgcnU7/kZCf5ZgrdS9akPA1spNYNTsKMIAhJIERF
MIRLQESf6qd0SYxwyWn2RcQD2NnyxrbIlegImFDskuhhD6PGkj3hLE2qsuRRuARTTDrTH2h+24IW
TrWk49eEWDi1cdkSamEBQV71ohzwwBF5kdnTNhwzQros7yonFCOSmV9azB4nC1N2lJOcMRGhIZcs
jXlJ1Si/5GsQtDEviRtGT5tga7tiyeKgUBZBmNOAdx41DwbQ+qwHwbDWa1muelRSAdAszgALmkb+
GhF81uEJgXjYbvtGYPKqiLEbZyZhjkqSpcx2UDbXY9R5yGriQJi5tief82CoHHGaYnHuTx5JcWy3
w8w5lxmZhp60bxotsQGgi85XiLYHrS7Mk5vb+1IyXyMNBexha+V7sNEXNvR3oyw7v+3C5zZyb1P6
132iGDtzCj9Qd7NLx6fnejbLbvQelOpgKBXT3FVx2EKlLdTbyWWA5YzWvijLMTCj+hqw3Q6buOPH
FiqtCFWmX0HpQj490GSqCA/r1KNtYLszx8m0bkIGm/SSb0IrcTQ2GlRcZdavvUZz2VdmgOEJq1fg
/wcKyGcKZWQvIAT1Aj95WO5tslZ2bB+lLxU329euFYyLSGkwTcJHdSfddlSPzU60UYW8jAHDmWbH
75FS1WuX5u5srmNwi7nYw5+6bVWCvCkqdqZSdz7SsXUb99Z6cMvAHcrqULpikVV9VogHVuYswWEP
j3U7MQyek/teb0CSsSDzh7B+hNSorp12Pu/L8bwo1KWLSq9I1BmATUfEGVpHJuI8Esp9JzXVp49G
ZgViwI7Mk4MMqIe9YiXsRjDsVyt4zVvWVue5zVxF9brnuQ5Pg5rdeWOMyggEZ6Q3rAmmjp2M1iRr
kVbtJolLwgWzI1URkrkoXoPGOZa5t+sWwol0lPckTO4qZQI1o0TxKtXVdyOp74fMDZSIXGoB0uJl
EBZlofKEpI9WpoNANjJN1SY7u7Iz85mr5NBqzrszt4fJqi9mjdF0MqOUqKzTWFX6sRTFNlcbGjLH
PhhIdkg/BDilx9dDpNJbJ9Oz7txmytqc3EOdJBtvIDYsjBPhl7VymwwOQa9ZfgVRQmF7IBC+oDQh
1paR/3wZWxALaK4CgzCigtZNUezdvOAlkCfjMxdYI5mdoxryjgip8JlnJ3bjMG74resYRwemUdus
mJ89mwKuoymx2dFbWO1zJY2QozXnvZz3Xp28whQgyVHTAreQHlj09KbLrVdPYBDuR2LVy8a5j5Su
9LUi5CGmclkZcQdFnLNw5c35uG2/hNH8c+N+vXGZ0f71jXsSL+Ry/8mdy3t9u3MJ5WaYr/PRiFbT
vuD4vw19CeXWFheWRfq2ZaHM+e3ONYjrRraPG4D5LqFC/NW3O9f4BWSzvWCbQT9yVet/5879M1YU
g2XMTKjnkado7jIX/m473tikVEhHDY/C0+K1MeeZh1wDlJLCvOdQOi0zFWVBLZlpfJaE0xPty+zX
TvpmDAR3gviRDsDanGleY6joSmtYdGOa8Lpln17dR2Ig5BTsTEv/Hk9cl2CGdJSnhngxSXH96Ho1
FBu9tIjrbTkUSpJqynBMN0xO02aNYl/3fPRkwwZRJNwFVq0epxFbry9R2VlSE5udLgnaoxCfCvmK
RMdQtVpJOJAL472HLmWqvSw0FYOzH+YFEcdTxGafqO6810410d2tpXLLyivNmM9jor1xKZ2bVb7X
iPweExh4li3gkHD1QVAa+kBHAX9e05CqtXKZIgO7rkP30C154vaSLB55rXZethW51IrM1pOdsiqu
FVSGTX8au/akZNT/MmIONZkoAqtKrmPEBWjr7Y5wkMSYxGdmdDdJrt5Q1BWWP5DJdak02Xw0TJaH
Tb2Jajt+RMXsO9CgQiCLuK+B8BpVTOtGygpi1mitVy6jsD7wJqO4UWxLbmq36VZOA1BBcC6ypaS0
h7EzLmLFcHbsQNfK+DREcKiTmnmNwQa+G5Xq2kZx5kE6Rv4gGMADkqp1aqlEOWqzsRlsDcB8X5t3
rUcAdoysUzDu3VBwJau8LmDfzYLwAqeGhNdTWGkKxcqq1KPWbyeRftXr/DVJ8YdiEisND9xiAqRA
ICuVwvbHFzYRoVLNvJYeU43rjZFL/YVQUdeXAHj/5eb+x+K06Ob/+vy7ToYP0Sbvf3IELu/46xFo
/mKyUCKVRDVtfiW/dR0cjkQe6oSFcP58dRF86zogUnFYcszRDYDG+/EExLUG2JWX/b+QVH9j8/XF
wfu9UwBYns0BjP7OZgUHGPLH10mslzAtegNdTdU0tXOuMM2jn/dMtS3UwDPT7OT1upEFsR0ybUoW
KbaGRsNBxApeGTxMfuqrRlnJYlT2llUaxz5TpoChS3koQq+4QY8uT/1o1ufsEKs3WHzyTC9kdmNq
Eqp2lXql343OR6gnFLewNjcEUy9htrCqnhH1qx4iX1baQtbIRvJtpmuwV/PSeh145j4VI5mv9dZO
esAfBKeUE6sA1fV41OwmGPVUR+aesnmIybQoij681XH+XLMNwkelphZ4SkQCi8OKWhS3lfhqvdKc
khXHyuyZleirgZuMwdH0xbEFcWW4EkJzJUX9YurCpIC/C65Kui6spEnvlHRxgDVDhhts1G12RFIs
LjFrMYyxbDf25mIim3GDBM4MIh1Sh9vVJJgt94A6CM86DMsVQX46t0WxXBwIJblDlGa5T6akNAwC
msjMnmI2qEE1m9ezxmhqpy/XUsX91KV5fFaTdswAFezX3m0WjiChvNpmElbJACPmhSmPhZdPpfKP
WvArio4o0Z+cCDfJB1SlP1ZEy3t9Ow6+WIewO3o8c/qSYPrbeYB1SF1o0pA+OC8WE9CvUwjvF1yO
iFawIXrLcfDDJpwPoi+H/TI9WGYXf+M8QH/4w8WBdYj4CgfBLkcWbiQEuD8eCLMRF7FeJeqJ2FUY
u8Wcort5rqJ3nkNY79xqdnmeuCjkEunp57Lm7QJ/iq2Vp55b2Xaj67zvn9t29tEJUnFn8WMJpobT
5dooXVjL3L+t86TZJlaCkcfAyQ6d5bSriEUyGsMeZ0l5yxgCeaun5n7TkA4D5uyJpyFAYXywJh40
rXmZSTrV0vmRgWPjY7A/i60SgHLqsLVMdm3Pii4t50ctcnaS+9g3cVyPTvyUokif3ercS5tHTkc0
ipb+qcjyAYj3faZBqzN7a0OCzmZ25svEywA5N/W29tLelwS6uQnWB4MRIowjue+QOHHisZgtgek1
yka0CAWmwr1vpD6u6m5y9hCnNFgJ5iFV8wo+iLLDbcBODUMVDshpW5njXtcG6kL7Wtb9NW2kuMut
6SWvGXfajXsWxeoDYoQDSw+InOp4jLIabFvkKGsrLXfdoKRUGP3BNNs9oE7ifULrbNLe27J8jsL+
bnIt5tcm46TZlc+ZikEkb4xj7pgfhsMIHDbi3Re3KUtwBuLgtTuoXdgiB3utjtMubaet68p1zXKn
b/mZRVFuBnKKUnr2DA+puEAsTQ0dOmlFal5ijQcYgdNqNmu121cukT2d400Bcy2KwaZShbPmxMeP
2bZG573kQyP3aWfpXWBngJlWoyEn0y/oN5HjkXwRxVCCGcIei77BlFYZb2UMglkJTQLKsR6xCSEd
0JBqIOf2jYRS0/ey5nPJi1wRbRpMJUkAzmIViKzs2pnJgXAM50KJWXt1es3HQIVWKfFjPppPpTsC
RhqHm7rPYt8DOR6YjfWe1u2nPo0fcyem1eDk9xFjxRUtxlEdEDZlLWIGcvjW+HOMNcM8dg7sWAwv
25mxeHIzq9sYipmvrdB9mpbtCTV0ihtYvreuLldljlZpKjpyJ5PW9dXUi455hAzvKR/YN5BeOKbv
5tgGVsHrpYxg284HFGvbtKqvyGliFo0LpjZx+NoMOXJ0HcjvBdY0+yFcOLMWb3E1+RDNzRW5DP5k
AryT7VNpWTT8kwIsCkVHEvChxpXKRk+xYwXBZb5SlLilDxlxsEl+4yC5rvupivZZTESkXV7MoobQ
VH9Szgg/NweBCnXKxNs/nfaXTtug7vrrSvOrmX4pj/54tyzv+d3dQh1nYZzQv1SUP94tNmt9tpW/
4pe/1Zr2L9xFGCOIRiD+/DsXhmH/onEL8SYbJNTfBTMbDqL2Hwfcnm7Bjebeo9XWIZ3+eLW0/WSx
/XAVtrpF6udYH5NwedHb5LdqXUUU6bRTWtPw07i4UpmSomrGniGb7EFOXRXkaUdMHuJY2rLUV22b
dGc5hUHTuDJI2vaVGvS+SsfnWm2OE1UW3Zx7zuterE1iB8LauGMkuy001ONRRySaznzKaow3Wjd/
cOzWDw31ylNJApEuqHiRigd1dD5H0x43qaxvCj29c7TFwpbh1+oVZ14XHndIX/dBotVBkSFiZaWN
jrdSNkQy9XR5YisJUViZCCVWbV+cxTNE0YChGXpQhAlKEI7mc50PynSVysEdNoD4JHTKaokEIyJQ
rdEvLtlhHtp1GmVvU2MVh41DwhiyeZyfk7EelvSxbIkhW/LIPJKmiyWhDIz8e0dkWaiSXRYmLmK2
7gJIgN5WDs87K1Tp9fi0iD1zlvwz7r5nwh6U1eiR9DcRN+OjyiDuuW3PGrV8bfQ4ZfOZx5W6xsup
4WYvTP2qyZAjlbFD0OaU3arxsM6cnhHFiJtrVM3HEl1MkTgVs4axOldLpLeK461LB+xyVO/LvLpo
tXZbEAide87ZaIWPtEwYBjJjAgqWbvrSVPca7kE2hC2aom5EG2RXFPo5hSxfz4MbdcnZgN11jQAX
LKsWKohAjOJESsAtZtphU9QOVDvbOZgs/NA8yCYhflbR87XI8Xmv0UQcZ326Uls2lqrdNkG6mFRF
rd5E+IvZ0yIoE8apibyNMuqk0tpXVursw3zeZgORrOrcBkMX3XZucRq9YauPOleCOiDh4DdP9xKn
Vr83i/TBcqpbp4q3Urr3aOZx/Ip2Bxv/tsaiIWRyI4r+ka3kTiOSYUUhX1MDWEwPEmOLVMraoK3T
N6MzndslkiZ+5emq79MPdAOrQfC1KVNkrZFxEKakk744O1tjtp5JB16HS3Jx1+dHHH3XhdXU+4kw
unNupZukl6+lQgBEeyt6TfO9xruK4jSo24F85flM2Nq96qUSaVa6bROxQ3oOjZfLL2mz56KP2BQ4
9mYpeFYGEjGUjcz2FTwGzSRfvFCr1mpB62bPF1IdTmRFPei6PFStElTaGOiu9WrUKh6mML2Zo/gk
STFphDyPLe0+b1RtrerTpimzlHR55SJUvS2FHGG3nUtAUfk6hADLmUGfe9EkVyyZDnnOP9O8Awqy
jg6s2LtRfz4sdESzmOHpGsaZU1ngAl2Zk8mBwhWTM1LQ6xgzDyFJdvSULuokiymQsNRPTKe7LBme
Wk9upDes2b9sU8N97tySogSTRDUxBdd6v+sMlHz14+QAp9QLpG7StM9dvb92tQaK4CiReAnjMenF
Xrbcl8oQou00rwwwpiwJr/TSS/xpHo4WslLi5cttWAp37yFkizNnm7jZA0kv55Ha3jkASjGKqddd
bAZ6jUCxbA6Z2j9khXkjEn4XRT28mQWPmiqOuEROY170+2iim0+TYZfrzaHx9GteJGdVj/M4FgQ4
hex6kMbwqhoeC72B6mzmm6FVL6tckmqlHRQDJGsjlb05mTsVolEnmn0xy50EW4q65nzEgtbl81U3
ZIzbiuaImu4w1rxk3YKNSZvfhWr5nEFfprDad8L8aM36LK7sPaSV+6FNbiy3vaVPyhFchZvBitkc
uK+ZWu+1Ahb8jC4i1FHId+VZCcRj1WoS9mZ2SObyecyNG8gEmFTourWqUf2UzDoCbTZlXZ8s4pQT
x/38pzb5Wpuw8v5ZbfIGSBhv6J/VJrznr7UJzS2DJiA+UPH+gMxwbQwC3/6G9/pWm+CTM4D/IMnm
P7q10DS+bQLcX4irYadgWO4iDQfN/j/rex0HYBBfHX491gq/50EZ6VDi2B4lj4fLOhAhx4a893Rd
pwOI67HbwBBvDfjT5vAk0+JQt6O3talS8HWTdxBOURuEpasBYrfX7HIBEEyl49tqohwgybxYoT5f
EHb2Ie2mhQ6NHavOwxujV+xjOTCenwaj2dQjKTHwiNZpFN93hLNKbstN4rlnRaefYaL7zMbpXsaw
Jczs1OQiIOdq5yW4Q7wUw2lSGDX3FhczgKJ8uXxJYfSgTcAy+Ugd807aynM2KB9yWKC6IRayUU4j
PNbivVkOqkxVLjpmXgGJbJRBGQv0wbNfFyUg/nNb83OgFqsBdVpA/X8fF9WVbkdruxJ0wxNqnKbv
hnUkSJA8RskeqvU1F+XRyMOPmcNlKi9trZYIeLOLEjzEPKYPRUPIqx6+xaV1O1jI6dX0c4rMOkhy
/coF/r5Cdayuh6hlVdoh3e5RGvd5nG/GDs9h4xlNIOzppsB+gkZImjt2v6lv5LGAXdI7q7kyZ79I
WNy0IY5FpbPbAEzSLovNFpiOsSV4N722tFxnXphXq3QCB6EliP+sCgi4QKOKmkiiCnO1+gz9wXXV
jlR0SqVuWTvucUQngTC6ZGPiL971oTdl92WkONFRb+fiAb8XS5ucnQU/vmH2R8OWmA0TydXifrZe
vBtj7sNOILb84lrvvjjYBUTdd+xUjoJxiqVxYmrhxmptDfBSMvrtjMEw0qdyU5uyOhazntyxYb8X
XTLuDNt7zkhW9y3yh07STPVAqXsWTZN765VybxRwg0XYb3NgTzuhaXdKH2pBr0pjPaIz3SKJja4L
k6PaafXy1JYewid+lkY7HMd4ojLtEhQepsM4o8nHS0Sr7drtZX0bNcNrCx3z4GT6gMY1/qg1EjJm
c1LXiaddKORDo0nBEI1kXcOA1/U70Ydipws7v2nsJgfm7pS3mc5tWmtJjJqgvq3cLug6GzJHz8A0
SqzdaIP26EPmHqnRs2yuppMEdO8rSMX9As/h2kooLzpbY82fhEicJ/VlDGu/ieW9OwGWNkqioqoI
UXlketNKH01lj9ae8UiKVLWcmzBI3K7c4sPM3jL2QLu8l81qZhyTyXjcDcgJ1qLzZjMQ6AFWtoUH
QhpaeB5Hhnt0h+miZTq78pip+05FAkpaDGIDN3wMOr1sj4o7o3zVUGtn1jiv/7mPvt5HP9WBLb3y
hs30W9K+/dmV9KMgTHc1FtOq5SC8X1Rf35bTOJJQgtFiLqvmr8mD364k5xdPh1rAvP3X9/p2JbHP
YWCKHln7/7Bu/2EQy6fHMGXxPz4ow6cfu2UrR2yfhmI+zWgsSSBbXvffXdRUYoRmlP9R9sVlhRGg
/e//XD7Cb7ufhUpq8jEAXzJsxrrwZRT83fKbl6xdj7WhnVpYqwxsrDzBAvA+DLuff54fv5M/fh5W
YN8v2QGq16isLO1kLTAEcS6d959/gsUj9tPv5HeThUhrSr0HhnbSR2c1mHeO94mqhrkdy6thjT7B
b4enut/1yWWHJVxLPmDiRaD8q6uuRHuGqJbgCCtClAQ8ybzq0xuJ+Hf0in/zo9CoZX76lVLQfP+z
MBIlhK2z/CyMNbQ8Iusf+iHxK808SYbr5K9iBPl0cDk2/F/XTvyf/6iWiukPXwBoMMtmc4bpbQnT
/v4LKBEwdIPqTCdsLwTNaJ7IzzMEkJ0/1WZT+x6D936fuljdxxbnj7zWQMcAfUL9PqjK7Auroamp
WYxtukg9k5zfYpsXhCwbZzJUqZF0JdXuRoOYOSPz8DmHZNCUaboWttjXzAX0odlo3USzPG3j+TTY
ybqIMLexRcTbvBV4uQv9MpxTTP+PLbysqL1FIkfyYo4L1w4GNtjYHfaGZfkOhrcprYMMdDvxcIFN
Hs7Mwi2ZNL/XenyiRD/WKHofW8wZuBFoWsqD1plXaXpMx2I7lDoeKCwOtTEb68q77Uw7MOHrpAPq
SiuJzMBMGjdQ3QJxdZY/oU9YFQW7fM8K2yUl4fznv6EvG5bfHssF3vbDg2/+7nGRCWt7smzmk7o1
duF+Pu8ejC1+slO70s67HbFea6zU/rQx/DNxVmyqYHxS9tmm26pb+5hs0q/Um7+UEvw4tvvj48vA
8ftXjJnnvVMsL9kq21fMeWSALwjbrvpvjqM/e2V+fxz97sBzk2LOY5r9E869/HZ8b5Z8FJ/pPjjJ
n/+Iv+Sn//Yj/votff8QMCj9/lvyeGKE4eFWjBk2XmYj6jHUrivZQoX0oxOL3Z9/wj87AZFBgREl
25Jd++9+pYVdjI6TGzpRqkSMzq+DcvnzT/BnB+D3n+B3PzuaBGCaka6f2iFYjAJS8Zm+/Zvv4t99
kt+dst7o2fPEJPnkDYe5OevsW91+/vn38WdX0vffx++Ox4m7GlWOpZ/grSCZlAzirr30wmMd8eUT
/W9rVo7Jm6ja6rP7r+Ujv1X1JJIo7v7Pj39sv/45+qiWTMUf/kBsC3Ojq/5DTNcfLW6zb03q8i//
X//yX+ilW6JY/vs/X96BxzPO7kTy1ul/XAhYPJ9/3a7f9lgsivLjz9/vW7MOuYbJP5R0sNVspFU+
5K+VkQrUBo4lInrc3CQ9ft+sI1VhLazpUO+XCf9vzTqVEW9Ykl0XefvfXFLbX0jmv39+Vai/2sJw
55n63fOrDZYolKooTjMJ4oamrcyhslYj/Im5TCuGRfhVU3LHCSLG70cSudpr24Rk8rhXGDenYO/0
q1KDPUOCuWzrl6w3n4gSIQaxO46zdh555m6Ol9XmEoIeE6Xckoo+LPHoNjnpACts3/wSnb6EqM8a
puFiCVbPs7hduUvYekXqet9/iV8vLt0lkN3D4LWakdCi6n+1FWsD7+AyxvRaL2HubJcfpUayWkXO
u2s1iOx6Fs/ZEgLf29W7vcTCWyMe8TkmKj5ZQuOtyT3vSJE3SJPHhPoxmfORTLfXnLR5OQ0Vk4Bo
W5FDb1sAWyqS6UGknOVLVL0XW3cGcWNAgZ9lbG/aJdReaHjvpOdesjQ85EV1SmV2kcp0UytaiFdF
Jj5xmMpKE8qDV7CaqeYav0F6HosZvhUbVVad3Z7EGiZ8GSyY2PYI1kq959EpLtEZnZu9W13UzRXr
202BG21y6GYtb9Mb4/XEAnxM02RlCO3F0GIE+8rjYIYPDIg2do8L2GP2vTPy4hWk0V2tQIAo2KzD
oksvJsRAqOL7K3UMsW9mdnHfmHt7aqk9OjeqmEg7w0WkuptQhlzgFkK+qR/+L3vnsSU3dm3bX7k/
AA1400XAhI/0roORTJLw3uPr7wSlkpJZdTOHhl7jNdSUWCQiAsA5++y91lzEbZEywzCe2KM2c7q6
eOj5GAFAwE0a42XjaO1r8UoiMonREudDPXAfkgReZyKamVPOJhrGWbmJzfIwjsF3aihk6Lp+p5b6
jYDYY0O/4WiBBcU1b0SbqMIfHzfRjYBoXEs69aiV6LqnOrmj+HxDdIH+M7/Oo/R7UjQPoYVCG14U
/km+1LYKpJGyNqCoKqdwY8iyp6grZdEIGKjFqVfFvbNQtmpL6jPJ36Yy4JSiJ4hMbvsfCHErR9WR
j4tG9VSWuWtJVbZ22KNNneGbJdyMk+8ktRz0G/wGJtLvZcJJBve4Oi1zc18vKYbbHmOqiFOsjAXJ
jieIkQQtAU1qyoMILeUo5anXm+1TrBtHTdVusEPEGyMmTVSQlsXPC1rqRdCMnjVjDSsV+aUq6ltz
4MZrIzx5bSHsPIDYKUDVGbQbqzJvehSZo4L0XwqCnZEKpq3x0FMjmx6EmdU0jXFFDtPWrkbiCZK6
QciwzK+hsgBuaUnay/hF7Q5kIHIJR0yZ+cwG5vQsjy9wsUhqkXN3JlmH7k8UMEoJl1chnV+7Qb8L
p+EuzeiQTOZVKsvpZgwXDLUyNkhq+ofZpGjpMsNdQYrRPOh7kJfEPkl4YnptCO1CmF+5r/OeOEC3
rCqVqQOMIBnEjDy1p0wUTpMIgCYmJ86FnvRaImGZqw7BrZ7P3C5m+vNoILtr8KrK9Xibr2SbuoXI
QlY2eQ80UDfjSsAZe55A/v+f8krHmbUssIEBGRhzhRvgBT/alaWj6nmMQc+4r8DstCtvh/HwD8CP
F4MZJslIOgYB2DzFSunRyZ5kvNUcAwA+YEO52yvTpy740unK+ekB/qgr+QdTeUEmOjSgYcDXyBF1
GzA93ZYgg2o9Ln2LpREbqlfT+NxE4IWWLrq0K4QTWR3uHxBEdFdHDmHlVQ2cKFkhRQtrJdAiaaUX
lb84RqXxSqYc+rZoL/PlnHFlHmlif8+4SdogFKrdLAHJ0KyMpLQNngegSQ3wpGilKIUEMRBY2bs5
CxyBj/1ttTKXGuBLvSKUjgmmAnvGehbMISc0CCVY5UvQTSx0fliDf5KBOpEW+5DK3WNTm4qTpf2j
uvKfJHmUMMrDhFpWOlT8ixOFQpxOE+yoTFJ2TZvcFkTjLStdKkil5zHF7m/Bn9J+gahWJJVS6UwF
5YdBvx7b/RI8jUAzIuUa+ILN4e4Bd+l9DNQK2VXnMwUE3QskpFrJV2Ki/5BY6F2JgxR+bl7tlZMl
rMQsY2VnZStFK1aJLLegh1XZzWDJW2PlbUGTcpdZui00eJ0rkSsO+0ejAw0g1t2+7s6oD+1OY2Qc
GuGVuiK9shXuJSNO32hN/CjB/cpWABjOEMmjVXqyVjjYANjTY2qb2AskEbtdIWIaNLERqhhJ0hSr
4GARc5Uh3AEm91iApvIHJ4LoNBadra5pXZrxmJT56NPfZJDb1ct8ljDlb6KW+2zMi44RqXPjmHg3
1q990C3WRVKa8iIuwrIN2k7dMdI6Z01kmq+9Os/+MjFGjioQ12weCd6w0Ms16SRX2o7VaK8HPDpE
SNgNnihHaFQgukbFCjHUcDdaYYv79IzeKtwWkfhDmcUfDAG+seUkGOcnCMB4xk0DM7LIV+cztopU
OumUvU1xCpUijHxZRJ0KQYHlIdSfoikfEHV2iTvWUF+lFnmDDJd2EAhbxrkT8mNX3zpxL6nBTRoY
W0EY5XPcGBelmgLOSrm0STPxnp+fXVzKflRTsh9g9nlVPV03LTFqZot2SDEKr5jEdEMI3dpkB5Qn
1eNT0eEMmrJbTZ0dPdPuUTZczTUTXqyAO+aXXhNnVwPvCcaiifN7xQhbfWNxveqssdjQbWcwq9c3
KB48FjjJH9WGLVtqz0UEbNtYpG2h075nTnExLPRTcNt6OsLp7DYTgjrW/QyV8QJpWWcIPTESqXQa
9HEpvy70oCHYjsQ5Ix4j1/tMkfvUNNVxMjIDm7ngSrTEweU+s7VgU5NvQHAdeHO3BlZLzvzRfbW0
1SaJs9MosdWm0jEOugOpYI9aJT2NQbrS4ozHVp5O5YQDnGM4FBlaV5zzw4d8Ju2adN7dEu8btTnB
Y/CqUQZ5EJvXkVaxRwv6fV8Np2VigFHE3zJV20Nzy7jt8xEic7+dmxl/9aSfcgmLhJ6zEAqRL2ox
cAxN3aYlakpxOfSNomxCbcEGteiPyZjnV0oA4wa4hWALYyM7Q6QSkdBjwxxp3NhaXszAzgxAakuz
bYFbO42YfDNGahhz6q+MqlV8qxlKH1tGe8zrBmOyMh6yBNRiGQZ+mgWCb2E9p+YMOl4uLTMX9Q4n
xl6PjdzHyLKzqLaQa1ZKQtgEE6F/xLH8vz6P+T/KM9PG9vfz1//Px7H1gPR/H8fWbvWxj9v/uXyL
2+qv+tX89XenMpRdmgQbFAE7IQPvTmWgsjAYEEdtiQr9TA5sf/Srtb+RkQKzmz8wRXoP/K0/+tXq
30w62eCz1qggHTDuvzNC/b3HQduKYxisUUvF7UWWwa8UlXfd5AbQRot/OryEHC8QQsbqV6mBqr6e
696d+1SaJwplEbYWFC5Ywz60B3KpFK0qm6dzmBo7Eustb5LlpPGMfDpNyqSPzkrv8Bd6my7YPGRS
EhiuWxm4OLs6PPqT0RhWC8YxqE99I5johns4IyddF4iFVJGohY5YSQi72lGkThvFijEh2bYNXE1/
IqTFBwMiuyPhhn4TqbXbliN9Th0RRjHoVwm2AYL4sE70JUPQGBenzDS0TAS/yMelvC2aJfqZo5f1
FAljFdjJVhRcNPiqnJAiz/9yJQgdkhupuajcwo9H78L6XV93E58iJiJ3gRFiC1P0pFTSIZoiPLMQ
l2yQFTtlqH2EbMex1yXb6IRzHw0PWqrc1VZ726TLEZDmg86CQdVcI1uO1SP4CTdU62NEABLEznQn
ETRJHI1+YAuBU0qo+BCWhI5Tooh0qJdy3iOGea6ShAjXzNBtsawvDVDVrVVEoJzEb5GezuC+CSVQ
A1YqM5N+RFlJ6KlluTNyLhubtkyFR/nSTZPmg1NeDvVcHQbWoSlPtx0cVD/PtMaJlQUbc4VZPT7l
49ozV9TaDqPKX5ZmFzTxTQQY1U8KjbJTSHfNwjkrJAqhaKeGQND8tmy6Q6SQASHMov42D6zzM5St
DWIFb6p4VCcpdlXGwRx2CqIug91U1adRLdgVUbnaKaYp7Djs32GirZsjR8lJ7bcIqzWOMJbs5IHa
IXXvTjVbNdP2ZjcwpIdIIf5Q9f475jUTHKGeczgm08qOUi2+rgrQZXBrY20DCxL2qiTsrTSRfEbX
b+BhdovOHF4y7rtIWHW8um3ODah2c+1YHJfcvB6KwrMY64KOdFs6GbmObR0dk2+OnezUCj88+9m2
FYdHacG0XGmhg/32Ba/KqRQ7hTPotGfIdLXwjw4SCiYTbbgq+ThjXuUWr78w7RicH5VA2FrGwxS8
lOayN3Jc0xrJ7I2hcRaUEORN3wYO4X1ndkjr0qMmz1dhkEgbRU51G5P3cxbKzwpCUyw80tFS0S2P
6gXINfHhnIeXni1sqT2IwHfm1N6r6YD1np6sFlFiDogeIRgTejPECMrTHccEnIiD9FAJ0Z1p5vdC
RYZvMXpGWP2UjWlfW8J+mgiQbxN9XyeWn+lwcUyjdThDoL/r1e5GHRPAqARVJ+ILBxEKNoXZl1Ui
QJSVKjljvU+3k5DLz+VoGk+tWeKFnuY5gJYWpDdTgFthmjLJJYqE7O24i5xaSAnKzTqgKt3c27Us
IETntTgOlRafe3VBVZo1QwDJr9LXN0xCBYh4AbWEWQfmtwXjhBNR2QutrLtDq58D0owB31SD3alW
y8MMqYlCOjtw2AyZ/Gs3nUggI4kCtRMOlWlLUnIYSoQQVcrxdywJRqna0Est9UnXbxPuPIQUSllj
As5iKpl+Ciq0mtNCBZjq5TeVGD/o4nPEK4cyVNXuRPKZ+R3n1A/n8JgQFwDfM7hOV6jUZEErTBwz
kWs7EMTbQOcuK9ULOGIMncl2SLqfxAReMo1BThiQVquM2bOcwA3TjZdyZthjtlgtJGwawZgwgmsL
04ZHdGwDzZlnek2cp5Na/p7r3eRXteYkxfA8KIGvqV2FGBKTSUdSScNtTkdQF8ajVLQPWl88alKJ
33tKbqdsPhbWuO1qJDHCmDyG0byLR17RaToNQe6HOac8MdNvum65IK54niLtXCbqxlSHx5EiTBrL
fWwsgzeoFouF2Gy4G8RXpC/Qg4hISXQoeqS0TxkEns6Md2E7ocMHNLpJNP0Wayi/YIa2NiyMu3qI
950CkZUw4md2gkMdMFER4uIqjpduWybhowZ8xkaqt9VyxV1rcaGfTkrBt88j42j2BsDjcE9f4dmC
IRMQMlGZ6QWR1BbBH+TsAOGRnL4KpuDQr9v2GQ2dug9exS7d81s7Mbgqmwk3oLn5ugW+s0nUdp+I
wrbR9JcAed3AOVHthttANRzE3IuH0qm08zi6EtXpZyBig53R2IlqwqhviU+Wlvl1UN/lRbc4aVFu
h3Cot2SSz0cJfFAiy8e+iV/0gN5QQ78En0bnFbko2aWqjlfo0iPbbEIFolfzVMC39QTRvIgWBIGx
qOsVbgAFgNORh5XjjaZgjhQlFJ4wy/C8oF9xZxH1haLG2feJw6EjK3kEOHaWT2PU/pu5q5QgGDLh
s1CFIDv7U/KulGpSnheBcE6Sez19SK1vqua/KwGv/l7PvJ/Lf5iz/OkSa6X1rpKaeYr1FGULsDes
28alry5EsH5+jQ+Dln9cQxeZRUG10VYXwftryHI/g1CAhgaakMURkcFxmu5oCH9+GSQUHwo2awXu
4EtTUPghr/v9MmGZzIqRDuGlR3FbJwSYyauJ8b5Xr0aQZ3rb0KD6LwDpH+ZDZvWfHiW61/+xX5tv
r3/pQeQvvztI4ARR8f4SvgEF9MN4x5BFi5Yy3kBJpQL/10GC1xXXhgnIzUAuwr384yChrJkFiB0V
BWGMzD/7Hx0kLHBKkEx5bBjt6B8fTSWShLGjNjhHcHbb8zQ9v/tZ/uL1Imrtt6eSo4rFE6ngviQi
zdKAmP3+VPZBq3aBNvXnftFcWa5+zpV6zgI0gE33swPkjvMjdnIVYaEkFDsAQtumTtzeqDBWCXrp
k17vF0aDW4VQgj7y1Lb6LmQAAGTr2Gvoz9qOLXiJsos0SFoK8qirlUuYc1igx4YDjR9xo0UoLmls
zktrj6K2m9bFaoTEoPxav/BXG6BMWdRqeW3hrgud2gKAbdbFL1mXQStV3/p1YaRSDLE3RvVBWpfN
UDIvRoU1MGNFJTZScaV1ka3W5TaZRglaJEuwtC7Gc1McBlZnetpUbrJjrcv2uC7gGSs5gKLFaVjb
A9Z4hbXeRNlGilrxIqzbgMR+gOflAq4cHVtOiFJPbzisulsDsYXAXqLU6BDZW4qq33frZkPmwfWU
mvtk3YbCpXEk9qXaMF4DaSD9yEi2oSWQExW/dutWRlcD6aq5zcLkIrDXYXNxokB+btkDLfZCyC5H
dd0cG3k4ZQpRaOyaTQVydN1GS9V6SNaNdUmzq2bdalv23I69t6plBC9CslcF9a5bt2d53aiVBRvE
unVH6ybes5vP67aurRt8wE4vrlt+yd7fUwOM1ALcC0S3Bce5KCz2E/WCRd2glspmpI7QqSda6grO
WTfRWmj0VByGOpwiKpByHnch8tdoQHabU6NkA14HObvV1+KlS7JHJIIPElUNXkavpMox6YMLU/Oi
r+UPukPI/e1zyZdH5T75wrx8T6mYZoZMDRWUkk7HakR+09chRnbsj5Qna8FlcEKiAuMtABGaPIcB
KaJT2yUeLF8em/rnTPVm0oZUqeb6RnwWqO5aA/Z8Sr03UPeJWvZtWevAtSCMqAzTpEmBuVMsqoJx
F1E91hVE4zAO6Rzn+TdLAo8prMWmuRjaiTK/YECi01WtJFS2FKfUqP1arAoyY8VsLWCXZIQKnRyE
ntKWgUftaLAVbQ6/N9NaAPdrKQzACBCyrrQcoSmUyYcL3JHaOewoomOqaXEtq621wIYyPbjRr6p7
+FWB57+q8XwWgnl1QsTnaS3X60qHe8BPAV+4CmFU/yrry8hRI6OBFCqIbrfQlizWg0CJrr1b4YeH
SifUI5pp59bNoeumS6VW9Bn6CZevstI+5Lrdco5M3DDuj7oUYlhIq8KXFg0Q2mK5yyRLYFazyi27
usT0H2cXA7pCijukvV4GvnEQVG/aMj80gfJqpPWW9e2URFK+sSQ27jkTjkH6CyZNfyDVtWnTZSUH
YA1IFyfMIIOWXNyMA7MNWdYvamxySmFslqiOYki9U1bFwahx5TIJ4r8fr4sexmTFhIw1ah/WwRY2
IjET9COoFjJaGpEWncRMfEyZtCn9qgULMr+YUmg52OfauCPZJNBRWwFwDdTY+FaNgrxZlrolAaQe
8zvM1qM34GpSkMduFJS1UAkWzg9x3JwWMz0rMv0Xq72Watx5Wcupiznj6ptzWPKwTAc9sQHIyrJ5
uF9zEnI53/QkxmRO2/RQnccut1hz+v0o6uVLoXZY22LhJ1Q3+HI9TBsuh3qXRvOlVDIao8QXDBxd
osEv1Hz2Wfqjx6DmCnKf3RWg7TAwi9a+h9iyh1uHiF3T0cQr5o5MW2T2pXGn1SWFjppwAs+JOHRm
NUC3ndZ3ejDfmYW2PC1BQRBUDyEMgCeNmnHyOg51fiUOhV/OdbnJ+It2M2j9E1135pvmDD0ZxGXE
rhR1W3Wg+ZCOWBTMHHt0Xj7rAz46xtiYwty+ZegxG/u0nu9FLAxDjNmgrKL7PpPvzL62DtM8DbsS
zrZTBhnN4z5hVimKz8jGFYf2Rv3U65XkEKiz2NDhsUvHPeyiQHmS8fXcBrI2gQIndTbpxdn9fHv+
U/ULuUaXKDUsBv8ITdaS8l31K+c5mtwwKc5dmjjIoneM56/HpvU+v8yqRvm9NP11HVwnsA4ALvyp
COgMuPhhVJzzLDu1unzPqnRl5vkLyyXAjplJFACf7TBVXmam21aOQCPBK5eLAyvVEfGfnVjpdRT0
N3otukoEIxc0Pq3FH2WvD3jOSYRczLMuhq+ff/S//OSwX8hFUDUFDPvvv5CW92XcWWlxBpZuh/Pd
ijeJyi9kiB8yZCEIWcbfTzorWULjQf/9KhzjqzlP++FchWhaBF3d0T9R6QHW7BvDQDSnMDwJVVZe
FxbPoCXuRnNExTkDRVx9tEuSe5Gw9NcIc63bgl2pL4czLEFOlyWja01OaFGV4TkW4MYG2BtHmfdG
zzmQzGRU3mDIeE27DDwgzsIF4X3QSrobZXHqpp3yJpD5DPeq37Aq4fAnl3pT1oqfRDhR2IrWIZy+
A/P0g8ya18lY5/AALZgXnebFGGzDmIWtKI3JCUBSjsgBkwzS2NiJLBDNUhw+BL2U39UjfTNLCo9a
Xmleq1fdVpdGdyjZ4iRwgXNipG4lyhdNNApnWtCMSkp2DERGjB6Cjx3r4rMpMP41Rmk7J+pzpgBs
LnB6Mt6ie0ObaFEpPSZeM5ITmQjTd9o2HcETuTTtkdm+gkiP3uZM80W9zuHdRye5XDMg2toDNm7Z
xMvd5Jj0sRdJcNqX6VAb7RciUPgkH98XngdeyBU0QvcdGPjvzwNIsLLgz7ozjqNXxWpzZ6mG7KwL
NWrQNnqB3oE4tI02kj6ByPgVn5ud+FVIG8W0uAV0dWKQao+LfNJK84lIzshrsaB6fS+qO0R/Pb4O
mqF4oE1XLNV8K7OpO6MU147ZCNQjLERiXhZEjta3Yc7AT4oYki5j3wJFrjGp1p6eLyj69FdrFRAO
Umlsmly+1wkiUKGeEaskOXoJFrMhX8ZuRv0pMfXdGMjfdQO9JCO9e9PKtnox3QVWcjSGBuS3AgAV
kMVU2f0s32rDcEqT6LaOtZvcwAM2d09mmqo2daPo6nVPLVhDtegxDJkaUEIFj7cI3ciRdOFV4JnY
VJbyLCnCkxTBa62BCbuRgeFyQW8kTKUrqY0vApOzigF+GUIjwrhgl4gbABwHg2xcdGJogbPVBdXd
KWsQOfE3LWHy0C/earhBhaGv/uxT2hdOCm8REOLRKHRvLFUnYoa6ibGmyVZ8nVY0zWdzcUts1XoG
wLGioCn1kHMJL+MgWNdj3f0E/AhKYl59cUSEdj1MEriockiIl6QfdeaLsYL42pTC3FXDhd4hFWra
R0d0Yy4StseyxLQjxFcrMD2MSk9OhQP9fCcaw60pZc80KknXsAtrhyxBIpHDyYLR69jeiyavnF6o
ExQWgp+M5mFJsJpZ6GFGiT5+K7LoLrLkJSBLGQBfAbzbhkV3CMf6WKw+vK7LhEtWrSrwzNir4Xio
fhn/S8y5SoUGfhSTbVSNJ6HllJBB7lZyt4QWjYH8Stdcg1Sn0TwDiNZnr1S3gTE8VqKAzE886VrT
YJhSj0k0EpYAXvrQy4OxaYnn3hhJUPjjQHYpdcMWc3DrzDr9u4EqxChRbRnQT4agkb7Y2r54U5X1
+Pt+B42sObGqtAcyS6hde8qLaTMNa5f1kjYnmH5f6ILXJs7vU7nfVgblw3FajqKC0wUrQ1n+AEQ6
TAhKjkX4hBPvi43vz+0kHDk0lGQsOQaUonVnfPfNxhYYaAJqBcjpjNM/ntpNHMhrbHO5i0qE+ek0
EMUGV68kf/1k1hAP9KTENZbgIGRazp2RhJ8YTq+nQmGypfQPQlxeStG4zSjfOPVsula+nWjiOkWH
HqSLX4pEfRSirLoJe0YTWhR1fq716+zAprBwZ3KiGXQFftEpxiOd1dtqweOtaPteIb1YkQ9LOO+0
yrqMaXho2LYNIT2k8hptwUA/MjdTJT3mVePGWbAbK5LPM+CInZa/LuKsbbIxfK7hMTzKYdCh4lPC
L37V3we3f9/o3/+oa6vw3Y+a6sy6GgK0zub0Ei3fZvPv/bj/0z/w1b//YeMQhYwaOUznc2zegh+2
a+X+i8fiL56/d1/g19T43RdAXZ+KqRzOZ02+wiRp8zOJ0bz5/CJ/bpiuj57JmJzRrmbqHx69yWhp
Jqt8C4sEve6tG3Nqkvt4Mr64G/Lvz/janEKBYxBHRfOL0lT6cKE5iQu0hZV8pox5Y1Nz7jIvcMhi
tuPNo13Yjzt9Mxy/3aB8epjcV7rf33ij262y+/wLy2sL+JPX+tcHffezWkNsVVbIMtJ5gyNuRHe6
7f38OvIsd0WSepLP7+xJG+bPduRaTjW46rl4+/xTrOr1P32KdzdX+9BBRsqcmTL84PMTyCPXsDvP
ujLsS0tYgOM/apuj7uS+dY68aVvcatu7wAn9acu6Zy9+admYsm2cy45w7LeF314iMsvt0Hko7f4s
bmZf21k7hLvb5j73bj//6MpXD/6HClqQW8RVQsxzaTN/9doflVfdSQ6h4w4pBA65el6+L/2rt6Pb
7whbmDbJHh/3PjmHGzYfF7Lr92Dz8Pmn+mXw+nhb3/2gH8mgcVwOjaHzqaKdZUebZZv7wV2BBRUw
ts3A1m42TCp9sgq28guNNPfz66+P758v/6/36MNqw1IjkM2KhENcStcYx8MipOehJwTi8+usq8pn
1/mw6pgklJA9kc1namp7GN/EaTviY1fcWuxoRXmfX+2vb/U/v9XHw6TA7EvR6qQ/Q5nk5HdThdf/
2QU+nPmUCY68nnOAIiJVTugDWobz+RW+uDHG+iK+e92FvDILY+ZFK6tzi3y7kp+W3vzirnz1O31Y
3FopQxNrJN15Wu/KkhE4mWz+s+/x4QHry6XtizafzyOhWLF+zlPM5/nV5xf54ukyPqxKehAKM805
dgOCwlSrcNOsuyhKvzFIRUmQZQ5Qfz+/5F/eH81CCsKcRQSQ/fv9MRVDCaq4689q/rNJvFSJaPL5
n1/jL2/Pu2t8eGkyBIJCHanTWUsIdRWv8/yLrsJXF/iwJC5pPilJWQ9nkUWbZnSqZF/8TL/2x89e
/A/PcRQz9AkynmPOBjZg/T0miBNHBMySm8hlEmnnh89/tVXS9+las37rd6+ORP9P6uSIPeqJxnDB
qnoKubY9vqLV2Q32Fchw/sDW3Hwj2ea1YN907rqrXz3XV8qeUzvsfxdw17bYRP5XH+8vN/L3pcvH
JyduRlEKeOmky7qRCzbEW3VXSBs79VXnsbD3WFgOPxFukThyPx9Ivvpi9VqzVT79hT7c90Fo9ai2
ZmoJh8BkB2W5jL79kDk31lk/QuBwngkDtgs6tl7jV765Eb5Yob/6CMaHU5Ew9aRyjVV3Fg6lPeEc
spPvmgeq+9D/mLaVmx8NX/CFn+Gzspn89EI21o8vnpPf545/VNr/2iU+PCfpoORqW/BoAoHwSNy2
47Wq26Wbu2E37XYkiNnLmaSCRxFTb+5VvnEFecrp3Wg32tFL9sVK+etg9qdX5V+vu/bhJzEFi9lQ
wZJSu6qv+ySUTx76wmN8kOy3cBd46cbcVVuaekcy+O5dXEfcos5PvdvYWYuEfxQH/1UBr3P0r0b3
m+yvB/f81T8G9xCCkf5KABnXu4Zk7p0CWOaPmGqDCGaqvzos/zm4N/4G2FFfwRSqgXFz5S7+MbjX
UQCjF2bcL+Km/HcVwH8erKMwhswHjUnTuNr6Id4vhIYUSrg/tPIim8xW5BXTJ43zDGuN6aM8hRKt
ttTLoPoVeSEjrS+i5xziH+I+zwQYVkICNPp6l2jCZRECV2QGg2vLKI/Zig9M4uZhhidoWpXomO1K
BhI6d4A5qDcBwUUdPdVfKMIyMa4nrAmh3SxJJTIH10UEwBqaXmkSz2TfDEDK1MGPggjTp0bgWiF2
OA4lBnEJE0gpnB0JZO0SlOgCSZbf9vqYO8Bmz9O8tn1npLu61dLBmrrJGQbxfoBSbCSzO8r0eTqy
9lb2U2Nrjfam8z031WqYrC3igfsByJA4jeAeiuTNgu7kzkHJdBjTH5YpxJ+FGuyyKtEJVJ3csiBU
CcNkdtA0YTwGcQTLccjpHzTJfVznCMgygjYbRuTwkTZaMpOiuEBk0/s7BMOMp9L6fhVmVzVkRKiA
R3WKa48o3B4mZtE7hUArcVTFeoMtA19G3Z+qKiHkaS4zj8mjj0F1rxXyQ54MuLFXTMUIIGGhoW0o
hO6QsPt9kJRTWCxnLHTYwQzif/qkeco6KIx9uWbMVMc+MrG5EsG84VCJM2/qiAUEctGWCMmqLsFD
Jeu7pNOv02CmNTe2oyMvoVuruemNQvlWy/hIZLE9y8roqrXgl2JOtk98IT73oCgM31leMWjyzAR9
e1XHemebKT+NiGzSVVeNAtrTNun9GvSxoUUwE6xS2NRDUm5TiVZpJfhNIgAEKNsT0cgddw/hZ2/q
NwjCTkjPS7eZKSvVXKV/mpLmruDTszO1gxyQigYeFdS4YXs3kQvkDUlxCtXgZa6H2ctIUQ4RyDta
Jz6odf2S4Eh1JLzIc93pNMzD6xB5rDTRVw+nc91a3xt9hCk6tPyGrb4L6xgvpq4du769xPSwheuy
NLLlxzxl6dbIVzlI9ZAGYb0ZFiKBiAA6FQxx9klnPZepeNNpzXezmjdNTXLFEnphoTtVO+6tDma1
KB/KLDrHZbmfEiw7JV6fgtE3nX0gUUE/7vRA+4kqucf9OiqqH/f0QW21GJZbWV9OYd0Q586E0oPN
NNmjonNd1a8y8KckE62qhO24KFeN9twKaDHz3rovLAlyIT0xuYntvNN2Y6TYYbVc9Yu8DYZ4RBvW
X7PY0ajvHJnwH6SS1NVBHVwpbXc0NbJFU2THZR/fGJKxQthulwqRgN70Cgf9GLFhQxqQmhuFb4WS
4jHRiz2FupmZUritEdEgR4xMt2S8Ygs9T05RkbpbSLJq55wazEl4MtTiZ9mI33MT2yepKA9LwThI
IrxsqisVPxXmSbEJDNtIqm9MRSFQptEJUyzLhChe5SUw196opcuoZD8UUsZccRl/9C2zkFyfbsBc
o5MphhdkH16tik9zbJzMrPYYsTDunXhfTLVVffigj8VElAlMNq8yZ38IiMWumisrzg4i/jX8TQM4
2+CcGIyxYj3dlsSU7Q1Buzd7MpOZem0US72TRE1mdF+2zsIIC15qMrm1IJ8mXoMro7RutBkaaabG
gFXpGhvY2mXckhixFLIUjA5BEB6hLiVQ1orr16gGUd7NtLP1LHPJcv0ZWm8xsPe2U25SfhP2AWkj
h0WGQda8gmPniZHAXRyYmVQBoophwVg+DokP4duw4ySz7LkjG4t/jmBMdB8aSTVaeI5gXtpop4eD
KkiQ3kNp3mrMvqaCfmtegQgvYxycZrG1JpQEPaLS3VROm0BwUlM5RHhgmJgYLxBe4x3LMQnLKmmj
6uQJUX0rx4EP36LZhJHeuxO4ONsK2zem+vFGYMLRaAauq7qmtGdWiWrsttemoyq2Ccix2u+xFmtp
dUZ2ne0qabyE3XQjEpjO1HxGuWocytrakuM1oo+Ze2/s5R+pBQWtNQzc3kZCbjYs219lxH/rKZUD
xpf1VNMvf8ZcrH/zXTmlmXiVYHxRAf3CSPwTcyH/TZHAQ8O9JmtFN/hbf+ggjb/JeMrX+Tg1zjoR
/a2cooEr44o3RGSHkv7v6CCZSP52auJfMoFc4ObVqemM9aP8Xk5ZgcAkzjSrSzHFJbEreoPODUph
NhWPcaOYLt4nCUkt4MAsNbBFaN2u1qSfAxujDR5j3I8ZTg/KCsJTxX4blqHLYAptWFPiui8Y5vUE
tidG8r/snUdzG8matf9Kx+yLUd4sZiIGjgC9lShtKiASKu99/frvSRqJFCHN7QYX+CIad3GjRTIL
SGS+9rznfOtcxv2VFrAbIqjFJK7bdG4xuUKpbHAuQCreGqVdTopOGzjm4wmFolvPq7OpHHx2Q+0G
N5yeW4J1menbbtIIJmaZ0ZqjBHJmV0eMMXKcS7xxP+k5+QyJNgtP5TKk3AqT2xHm/bCQkVKWqv6K
QAXpOi4Sg01nLTeLCaVDQ1y1ljuXWOW1Ly5hOWSnlbiWXq0dRrLjT11u7CCubuZ57dwS11njXntB
cQ3F38IXF97Ry0lVlsGqxRYoim9Nu76jYIPcsD2S9Tzajj5Z+sKa9HQxZ3EpyC/HK/fR4gjbYwkr
FAcwRScYJqTpjhxhqUJM1ojpCoUNC4Q1wyQddsK+FcLSScLmKcL6NUhGNZhDTdhFutJgiMQIBCYz
xHRm1YOKIbVYrhGWNRA21leqtd+kOiyW2F8dQxwKi8y8CoBOE25wYa0HYbeZQV7aGHLG4JiiT5TT
Qth4WVj7QNh9VXgA1GdudOETotaZ2TiJXHgLYqFlJPyHiSORhUdBp3Hh4mKqrL7ocDl1LB/GuKBM
+CLFCD47wjulwk+5wmM5uK4RFzYUw52KSyNE+KoLH5do7RXBDGPeuD+e3M97HGIrPCP0o9qkUAbQ
qXhNF/fpCD/aauU3RXhWMLnqKiBg+epLiTUvrMZBcDSt0IEYgVYZFK3DFhH4VrKOci+rLvsqQ6PC
GrzaYYMgFmOkkODH7o5aQ0OM21qUeb+sNXcxGBp0pG75xdGhWgYmudSjnEfQuEf7YVl2FPQagy22
mZSVEn+81fIMwhkV3Wwtt67twjyulWET+0U0YzrgKnZ979gc2/mYtGeq380UB7F7umyjQEc8hGPu
rOrMeoARypsgOM1EdutUUGBXlwD/2OLy1I2gQmB2JoehgaCW7jvUJozpIfPDCbdhle8H/qJHY5Re
0UDr2/0e5+4FALZmpie1fN76DaKMDeRZ7hgfF2oqz0fZLJZeA+YSyCXcBkddqFYz2qdfwnxkftms
6xNfl4Afw0+3kWU3uslkPQeWajOro8Q+wOJ/vdMjQ6WgbPuDd4IOPRiyZotv4u9e+SbYHwXiXugP
PzIf//BN2gFklczygsbTnhzQs2/S1QMmgFVDNmlhm84jfP851dflg0fiJQZ04a6keGD9Hd8EzfKv
vknHYSJIJOD+CDiaOMjXqT7ISxBipZld9KVsLdJW76Bp0Clg6d0SpCzV/QFyFghlURLSDPlYjhMl
nTBPHq0gWM7ugsStTvG/BECaVlyHjakvgeRXZ13k5g95LZDSMWIzfmwNmFGFebDckTq8mSL1F1WZ
1OdFCJxKkk2g7CAS0QB0lRgCKDc9i7zcebAl/4rcyDj3FKYrVc/vDkfbTG5rezAQVMGJdKrRnNaV
b60AymTFxGqkaKEY8BqD2qonvlapG+Cz8Z0hx+nSMyqEWXK3WrfwW8992Q7mVulAShAiZMakbX7Z
cdNjGOlJgrx81sJgD6+vlOrtfVZ5vn6spO44APbMogbkb91IG91zQv8MdvWmgPGxSstzy8/TieUp
vX/thw4wE+BNkM7WxO/dme0QEiDorOPJFnCx2xa8CC2w2pmhenFwbEoQzUyCJh6+ha1aoBCBXgTw
5/6L2cXaepAsIwNjZKYLolwEghp4k+suG9eioAN8Sw1kgDOoBAWe4hy6eet94yQFUzkdx7Vb+ePG
DPq7UioWqRccSRbOJFFM2BIMqOmlvAPNaivNcBgBZz0GTjecRFmfk/M6EY4/yZh/DTovAPdVQydA
qo4Kc1R81q0AX+8ot1rEXGguMffky107MewSvF1Ymdc2IL1VLdXObS4X5lnvFPIMbSAYtdTayG7c
SoY1oI2db5LVSUdaXFuTvE/OkTuTZmXd9oetRGAx7+KiqGe9G+RwbGbVasjd9AqGYEHiPJpfvVGx
oE+ywtvejYB/hXp4Skck/AIMH8HeUQwnRmP2ZWx66ZjDixC1hbpd6JXunT0m3W0K5cS8yfrgWgr6
/MJvYzR0UViJZ6muA9qqKuQuWwTo6nnVG9XMKyH1mXrwraDcpm5QwJ3oMbIEfaddEu7Z6HtnprLJ
s3xcFIHMvGFemWhXgGv51xY/2WKqnX+wxRmhxXqLJeavflhiUgEdsJHFsKP1KLD2kwxPO2B0jvRB
0OdCbo/9fskS7AObCSqsLShdLs/raSmY65FqYy2GpqBlwHS+kAJePFXn4RP8PbrmUaP2VRVf0PgK
qK4Kky/sCAxNvbXEVKGYl5BD+ZyRRQaYDVhAptDpN/dl2MxbnYsnCzVkiGdTtKmdT27d+hNXaCYb
hvWtTuJrS6gpU12eNXWNvjJCy4w5rCqEl5GUYQZCaDEHBdOmQqA50pSvnZBsroR4c1IUq6LlHozB
uVZLqwSV5wp5WqVE9rkRAtDtAMm1VdnLFG3oEUtloRVdd2Y2zaTxIhIy0pSNrlSt/uIQ6aBplV4O
EbRiGdrTkhChdoUcNST7TBGbsJbcxQhWdx68aKERXlVCy7osKiSfjeNELkhnoC8fhO61nOvnPmWw
iazoxyPS2G3aHNuV+5A73XEAd6UqNLR1oabtpS4z//CwkZN8If6Zo8elrMkvBAe+PRur8lOAOLdn
AYrscq2YUuu47RHwhtyLDwI7exTZp4PQ+Fb4DC6i38GYryuhAt66EN0hYARIW0UjPIX3zRWq4aWd
3GJ/zkGKfmXEmVIWAuO9XRzWj4rjTJkChVUWNmLkiLmdRyp1ZwOZ8kbolQ8jo00mxHmdcQqX/6Fc
o2xe2eElg7X6tEX03Eb8vINOYA7f3V3gG+iiqxRrCyf6VAjN9Ciq7wxE1NEjgBRNyKrb5amqaN6J
H5HS+EiupUiwd1UDyhNR9spFSaxCpl1Frl0Wuu22VTtHndnkc7SOH1LPuvbc4bCJun5O0etoyFQm
WjRpg/an0AhbmGH9mX9bphm5m97alN1U5qn8sL5IqzA+cfrkxjzJFMGVaCUzk8hm5muuP7Oa6juC
f8vQKg/NtvCndVN6C37xVGmKeZ4x8SFHbQtctbpW2vIQVc8v+qBQ8mtQWbCN4ypETKrOQL+maQK7
sz8siipa6DUIhBEQ5uAz5cLYr41yYIlCYQy2PxFou0E7VL3sODJ0lIlQHYlgeNej7ij0QQr6JZ08
h73X3eOa3BsGicAa7hsvKz/7AEJmvudAn2FmqXWl5nT1vYkNb+WljATiFWhkBNmUPljUmryA8sEE
x+1+j7x+4xqODKA/nqZyYR1Zaf+pMstvdUSIkGfZpeUx+eVHlzD3rSBAMKYa1Ap5b4FbteAbi+Vy
YQPGBIau8+HgzrDIH7Q+XAI51ecQ23VwjVnjNGwrpASDZFbD56SZw7o3IY7o+6+2C/7aGW75ooFE
htJqCKSTtPAP/Qj2TMroZqRMvTBmTMpdhswwRnbKaLwNQ50+Hml5/VkpSrgMwFuroGbbBDemBbjT
oKBSCLmZ01uHnWOiTJPwhXyqUT8e+gbCQDT30KaBIxshitRisKWa+YFzl4RAfqvSh0vBUahaBvC+
JGYzGSNKfYV8hn7gfdXpXAIGeHorn0e6M9Py4RS48grpVfgeVbk8VruO75ZJPgkm8Kq8b8r2nIRz
VoX6jRx4MAYM5ckYQWmiIySpRxFdGkgxil5xFpD0XxuNu2EOidPZEos4nj2tGBZCXrKfSoWx1LXk
AqKmFuqTgIEyaic24tS+3px2VnrcSwADkiie6p7NDEAzqVG5J5uniCEfOlZzEZjtZ1nNVy71SPRk
rXkUxti/PpUYFMiuNIZLpsFYnuuyN0F2cRljAPOgPXPN8aYQgo9qfemqzVFZtJA4GJC5obY4jrD3
meVck5RVlkEOXGXpiBXWFo5RHxPVLWyi06lDhlfksiAOZYJNbb5qAYSKhMfaisnSCwUpkNzzLpXR
PnHsoWWESwoW5tgdyWaEsgGJM7NyiHJKgbPSPKM5hLD3QoulRRQPF6pjf9cgMksBclcmgU9pSwvo
EdNpJ9XnQ51f1JZ92wcMDCaG0Uz7xHDQUFfju0hzB8ZJ2+9h1cB0I3+Km5QGUXbiO2hSQSpwRadg
pgbld8Nj7KlR8jO/p7MejreRojJd0kafsMDzKjUuS8llMFZ2vkhm+bkv+mMI3vNJ1SQWaTwKkIp/
rEaQd/TkC513rNeidaUPK7cgfYdyshj0pVlV0ac2RtJ8xlywspDGuoNiy57HcrBSjYj2VpeMsz7z
H3SgxTMoWOEihc3UGcdzpWQ0lXDBm3mg1XsakxNXK75bCCRNnRqISmBhLoc+nVF4+pyF6kWWqFd6
hLBbm+nMh1T3UPVSxxMl/eG8MvvVqGK/Smb3JvDf3PaD9Cnvs5s4oEzepdosj+kY2UN33kaIcDGL
dD2mOV22JmwuyzoM5gZFp6UuFMFMGoqoZihI3vwf4BhV4K1+hicUMS3wshZ0OpBQkS2KGOl1olgV
tqIPjgYZ33UyuTMW7UUxpfMxddY3V9Up5BrzbFovgxPjkNHeZbbwjwxvGZ76h/8GuI8BrkHm/fsA
96YBVbB5H+CKv3oJcNEhh8lCJpCFXEwwN/9EFUAEDQYZtjHDgQH1DduzeUAAa1myLAJQBCRflcGN
A5ie+dKpm+vApQE//BLQ/inAJY795QTxYEoZMu+BggYB8y8nCK4uuUiTrDkbobhlfrP5StYE+i0i
yZNbeKXKGMYX2BqHzD0NSsQgDaWrpmXaXjBxv7Koo08q8mPsdjGrpODYb8LTwYIYhfjjWpajh1bm
EkpZy6yN1CXMfain2Sh4aWTTmyaVKMDLnzsSRLXS7+CJBHjgO/rCFTbYkcZFrEsSHFU+ugQlsx2e
hABBHn4CV/A1H7Lb1ofvKqvhH3RN81OJGndKBb92pM9uClMWFB+aFpy2kX+CZO7XKrOTSeBYF6Vm
3Me4mXnCB6OyG5iHcKcAF8u+wEfIRFOoUeiuhwju3g7Cle52UBkj8OpuoesjHdNQYzKhC2JYrO2H
wkeZDRTpSVXHN106gu1BJNCI7KsscB7oN1/QuEWcoWAcXfbCeu521Bvy9k6O0nu3zr64BfTyWXpP
WkNoH5XevIEddllB7Uy5ZRkwJaiH3tdYZc46j20mt0wiuS7P7jvFOY0k5HySAWLeXGVOf9ATZ0FO
wcC8Yp3UFSQAusvQCAWcIC8XQ9Yt5LI78hxn6cF0hBbe90APNwgR3GiQgyFrfpd4YzKTRVGEL8mR
S+SQO8I8SDULsCaFeWky++I7/fc4dOBZBUSRya48bUqyiURWP+uecaXX6IfaQXSje+r3RjVbYh3x
50bTLHStuUsIFaoMR2Ea5qKp4W1ymzo8ZNjuS6aH0QIdDGq8hjwJ6L8wEQjdr6yjmDtGC9liBpEa
wWFR+3ieiPH0JudbowHKALZhzho9oOgNnZaJdumhW+XHgZsUR2IqFQIKhtIJ9q8sxv661Fg0hV5g
wiF+9iJQJXLdY9ohmMWac+IMih5Te+QQDxXfYaLm3rwrx2s46HhqapM5tQtXbq5HWzsKOlrXlhqn
RPMu3iim8QCD1z1h4J2NCC0ksfk3WclKVMHcadn1tPPlYEmaQHNH8pdyKoUzyYrSqSxnjL/Jh4qM
UAM8ds4SybIB7UV7k4TFid1n7SSvwnzO7P3K9IZhpjb0lbykv4W24Aj5PgRnamYjTa3+VglCS7lU
iL5GMAAJ0eixnkIn3EPE461i1fG1WRR1n1WbeXMI+So/+MQ2uPW5WlteNzcDQ1uYbiKnNxaDcdmM
IbRRg0U3FkOJdmJdSK4fmJCaQmWkFb33haHmeRVzhCa6r7tnOfPlwE+aqd2RM+OFfMvxrv1CFqxu
Rn8Jzd4R8IoAiSyr1RgotWOcvY1U6KqxZDjaigD+oSmNvDiZVYMG9ikGo2H2xaEcaupd1MlycBrD
hYGdiX2aS6Z1L3sod04jcyhBJNJfcUZo3nSjgMlWtbwbubbi6ovqth4jA9qoQjQmJ6b7FRI5Xz+V
kfSUJrHTQ0/8r7t8cpd4j9+7yy8gzLY4S/7mxVkCwcPhwb6pQHcJuRHVlh91efVAR0fZgBrHlKkU
4WJ/VoOoyusUiIiBwFe8rQZpiiablG4ciD1Fof9vOcv34RZNY536DlVFGtEOb+J1uFWX1KBjNYSA
osbt5cimWW55U6uJPw2FotqopNlN0CoxtyZJriuhvMZQNhnR6CIHBCDBc4RAW6FrZ4LtZ8797KeD
FQJdodBbC2U35lu/OQ1ab9lAdB0J/TcHOu4pJQtr6jRudqMjE1fKnPMa4bg28LPzxCsARHeoypEw
pYcN8+1zr0VzrlKU20So0MVkRYehox3mRrPSEKrzChTreqFdB7tBcB4LPTt8D9wzZrd0kLpD9zO4
LaDoP/WFDh6Mz+DKIqYdFbbgHCC4i9ha7SxJj0RUD+S4TuDG73LLmaEO6iyZwmYu1bPusioX/Ysw
nqRNctIUVLAdCkE0yxGWa6ZOZsBv7edHcqOjbezJc9Vrj6JSgm/P/sRunmYZqgJyzZgregvJJI38
r0ark1I7/YRp989eEX0ujTSe576HFLUXXNc6mSQ5EvrxKdgl00OQcIR3RzKTjeb58aRPzSOzBPJW
j1DrO0bI6K1keAvf7SAbNcYvfNFwhpr5dSa5ZzolfxvOeA3GQD6J9uAO1YVUpe1JZNO4L2sGIAvG
WLXRASjgjmdGxlda5/0Mdd6LKNG+qVr5eeyie8mF/yDz/aMo7s/NDkFGCx57IJGUn6VOXcEVwFQi
woezznPOgU/UUzURyRG1mz6hqMOgwgRFgS+5N17qun4cFkzaSv0ogS2IGFdHumBq2kVkn0OaHWrf
RO4wrCyCgLlF7xSQ5ZhMS6X0ZlCAUh+yjI1EtSZobJrn0kDi6UIG4ITGKdHfETJW5cQy4FhRE+VE
s9DSiFvoOl1ZARFk2MHhYERwLDIeTPMZYmjDaKetXQIL8yIwhVDxDz6850ECSDALnQUBIY47Gtnk
oHJXjCsxRWBQ8ui44FP4C5aIVl/FaQruM9BXve2gOADl603qwwnh6vpSydIe6nlINcDwJpAqd8gf
yulEG9zNMKjLAH3QVWQYN2XtflUhWZpakTa1LOdMr4wYsm2D2kjXyGCvzJVkl/q5VQ+A1umGTFFE
hLi01K/bKMumbm2cyEGHbBfN+6ksGUcl/acjZciOCz1WVkUGNz5NcEgS7irFPZc6b0Ebo18QFh7W
qLKReyblYTVEOUwS/swu4m9+bCzsLOeqc03y3OrZ2ORr7ldHvdXlq0iy7BmZpXLuUwklHqLNBt++
d4QuADSgtnvWFhIimo5J+cwZJzHqpoQEVDPdvL8clApYH3CGo2IY4SZSVXcpFzXc1VWmHw6e68xk
qahWeZEeez5VkMFrtKPK9Ea4PBXpUM/g2siK/NKUnHIxRsORJHt3uZRoF2oIIwDWL1pJge5MfaCP
EgGw13uM0oX5l8IKve9VCk7S5xpfWmG4YSy4Vpk61+py8q//fPKfOJw/+M/m25ZuisHfvPKfuE+a
JXQrnhDnP/2ncoCmjwzxCy0VcsdX/tPhJzhb0k2VX6H7/RNzZR/giDUFIjt4iWwA8H/Hf2ryr8km
z4BYxRSpLWPJ0Be89Z9xXdYyoEH5vA6zO9dJjUMz0qRjFRqqCVl0fmlgzkXhzjnrIyi0MlBCzIzr
R2VmpJRd+gJpBcc4KUtAFdwIIf1uHrZdcx3bfX5ajtI0b2UdLq57pY3kmZp0S5o1Lrro3cpx7QUa
A/IsJ8dphPRd6iDRa3UI96blUg/89KbwPHRf8/zehAsha/LbUkHLVIdiYGJ6xX08ONEsq/QUrFa3
7PO+h80189NL6MEPlVDXLyTNPHbNzpnXnexOk05iuhjSZ8icIfx367XVePduYsOoOgAb8Ya8WNmp
g1RhJl2B4IwvHOA4QFeBocNlQjkVmfOZGyA/4kkAolJ3QNVIh33Z0R6qwIQevziz6wA8jR/dBap2
U2dOPpNCdZNHRo8KondbkhUE3PrGlHxwt8qSqtsDdjiF+8KHAKq/TGU6sTDMJql3HI7OjQJMCtpg
uialKt/kVqhORr6E2s/raey66ZS28HpoKqj4rOqOHjoFZLgeJgWJV6fLF3asKzDJBZeBAw+llMBd
czQMMLoNaf5dLvH0ZnqGPz1uh8xbaWF11Zj0P3pDBuJQJtXUMuNJaCKGZOXxzBrpshWSRIU+dVSA
Xk4dVxEYrDKZB2llnztqPhzGqa1OUJpYKYDegJGWG7VoEf4YLe9SalCBHQPj3lHb6KwY1O9xZgzm
BISFPAP46pwhsMBYcAq7jRvBSQM/QLRISSaOvCg79xkumMqxfQ5Ovp6aJn1xb8gg5wOIXynUDEr1
jCZyCn00yoV1AAROaRg5UAw4NfqWjpHSfDVz/1MUgc0vG9htVB81LZWJhMpjc2N0tSa0lD5ZAc09
N/uWAIdqFE0/0lPpUrHz78hhzSEjPGyK3p6mkVlO5brUVmZcrHIzOeprA2oQ7XxQonMy6x6yczoA
chZ+ljv31kikallHDsx7knVb1h70YYp64uYqMYcNGVtRJOGkkeWrZKiPZJxXEYVXQYDydBN/gYnv
G9q7GVzaChwbVXtml1EzAz9PICOnp4bN5hq6dNTGINdNWcxgoNE8o2V1Airu3ob8b1bVw+dcg4Sm
VZjTrsgcs3qEvQumrMgdZXpq8lkXd9989npuark7Tc2goISU32lpfuoQCZt2tghBjUAS5d7XMpzU
JUUkKe6KaW/hraOwgXorKqaDA69bOhgPtWjfFSpayHZ4UrilOg3yJJrCxgiRUfXVDotjgupbJRo/
KdDA8f4I3gSGsXNOS4F75g3PvLHt4CiK4LsgV0cr+6pytK9D7eTnAEXiadBL/RFCRtIqS7pyloKq
aSMAkcBP/Dy6ss3UYDpFp1Wla261ci1WGUvfWCZoSsD+2MxCDemLJFEvQxkhDhtEELWOapxImRVN
mUpmftCOW0De1jn1dhokHXTvjNZAa+T1l6Eq01U25Ht7VJ6nff8/QDg/v8WtOn4/6pvip4/yuzfZ
O7G//+iXXnLB7Qv9LWFAmVT1jed+fGOP0oR/XCdeI2HYPCA9qNlCFlBFyI+yr3jhoeMMpM/TjyWo
7w5w7I6AhL0Ol7a/+avNr3qIv9upD9wEgaHecRNU0Hcwoj0yYL359NTR4YO2iUaolovXnu6B/Csk
5p8cBIuhQXL0pw8qPuqbreAgICZAPPaoM4wgyD5sxevCjsFX9A9OAh/z521gEMDQ8aVgMR9ffMg3
m0DzBA1NuIqoFT2+9mETuLKbR03S1cN//9cTr7RoqOx4J4A0UQ0Djsq3Ll40g95shaoeEAuAn1L4
Cc96ZTz/2aX/T4zHH63a200QfOg7b4J1YNMJYzjk+VZwzX7dBBXiaUtgZfdwDyhrPl3TJ+zZD6P9
Nz0EWDkoKW1m299+eCyCpapI2T/dlr2wCFsug7a7caSdin/QIb1/sgv43bdbwRS3A7u647DlvPZ1
K0RuvLNdoA5NGm2IC8brV7uAibR4ATTkvOznnXi6rLvcCXroCiERZf/tmyBaCjgSRRGaWXu5Cfru
J0GnN8JMgoW3fHr9cimEs0TdS0eN4uXne7kV8tNB3e08QBGNIIbydP3fR9FiisNmH57nSPbNWRpw
RexsGSwwIjI1QJuw4fH1y3kgYuDAKIat7W0YvfMm6MoBfgK3KGIn8XoXMeiQeugaEcPehgxP8dwu
1wEgESAhg17a0yb8mksIH4GwIJO6T3Hq/l0HeffYER9B5xhaZQ7V22CByJm6sqU947z279MLFpjd
wgRm00QzQNfff3qdlJr2OFH10+HYUwep7rwHmiVYemid2s9RI7HAm4PANYCA1LJVCziceO3pVjxn
eLtZBKpMHHjr2UH+uhVUFxiMZ7tEH2gvowTlKZLbZRMoM1FiMgBQbs8iFOMAGijMJunWPmcRyu4J
lX7AQLqq2fpzXe1dFmEfwHxF4gntwl5vxe65BIRdMtJcwIuejMA7ZylKtI5pElft69XYvQxtHEB2
KfKpp5MvEuhfTaUoR8Fn9nT29s9nGrtnEYSGsK1p8u9KbvgLqi2KjCzbnp4EfffY0Tpg0p3YCHa7
xxcX7M1JILWmS4FtAFa3p55i95NgHnDQKSy+mMd3NoHUmp9RXtjX6/Ac2e/iLp0DEiXsPwXG7SdB
BSdiKAzp7mtrSkBNdo6jdUptQh/+6fWu8kh/TswkU4fZ0+sgSNR32wSNlAG7SBfu+ST8ugm06VSH
cRKhaLSfwePTG9vlNlCCFhPrVGqewgSs31u7qDK4rohy3L7axeda6C6b4BwoIkqyYMx+fP0aJqga
1RULgVFRd9nLk/Bc9tllE6wDwOWOCWPZb06CTN4Jek4Byy1eT4nL/kVMgtZgN8NAtU13HqfInivM
70ot8gFdG6r0ytOz9m8T3tEI//3OPeeBRAkv+bvzoByQOyiI7OxrtU3d3UWQL9Jy+nEn3tVdReys
UpkmnNhXy7B7z948MC0TtKv8DOb51U8SOzPVBnH03varBWHibjYBRBNboBMOsNRbD0ltHolsAMB7
axF3DxMgqSEMAqbzjGDZcgSoNJBEqj+qDfvpJ3cOnTkIqlAFJ0l6dIMCLPf2PMCvTuQsU5/dU5Og
P3mtHYIF6vA04oGwab/D90GFxKQ40977mkQJtfgdTQIlNoNBeArQPw7925NAHCEz5qbsLcjxuey1
w0nQcICmKuj9nkvw764DhRWFBrXu7OtJEIQEO54EeBaFcYSAcXvsTCYJx7gMM8K++gih/bjjJtB2
YuIGqOdze5Zc6e11gFgSBwIP5b4GjILQYsdN0GDIkKF6ey44v684E1aL4SR4NR+ftX+pg7Z778HG
OwDn0kF4P77enQSRYIn/UZvf51RSMHbveB4MggHVxACCYXn+qL9eCpOzAqRrb8/D7tHjY8eaMbkX
R/nuPBAyqaSSznPaun+X4h2N/N/Pp01RaYOdBqH6x9eWShtoWI7J3jpKffd8GvQKc5uANJ4u/vvg
WT7gh8D/7P1GvD7XPHYInASkC81WjMPLaMSv7lJllJXGPQCGPfUUz2HtDpsgkimDwEkUF7abRxCO
usNh2NsQWt/dPFJ+1lSVaannwOmdZaC+IrZpf0NoQVOyo6O0D6DNNMmsf1dkepymYtxaDAzwrP3z
EUIVb7dNIK0GpGOCYfkNwhGsK/hw8kkG6J6jif3cip0DaYH0o1lNZ+rZXW6JGUSRBRT4vqZU7/j2
/knMQG9SfNe/HxyDFJMqvGAX2s+TsHuZRZAO0ofF/P3GR8jUmlQFtda93YTdq46iRamA4aPT8Pja
gl8xQCzYFOX+85PwH9jQH7PHUz+IHx5Hk4NN9Tjp9TRZ93/+wstM7vsFXs0XPk5ZvvnNmyHfPK39
NIAn/vt/1g+oA82Cqi6D+1p99AGvfvriEx6f9Pz3zx/x/cPfPOzlc7384zLYlOvyHiKCxwnI5zd6
tk6Ybf7fmP97WP86HSkqPy//Jp793//19s2+8g1/Xj0P0s3LQq9GL3EuPz/qP108WT9k5ctCrxbH
hO68+ATO921vnJO689rTdbxu+Uqql7VevXfO++7rZ3FTvftKSUGINT5g8bQu139Ns6re9giKYTs/
YraJ/zrLyq37j+3Zef15/NcsKzk8L2u92n8c887rL8pNlW5bnFB458UP402avqzz6o1/xHVdNsm3
LH6o3y8vhh12fuurJN+UwTp+Wernuxe48d2XT4ctm658xI093pRb9lzgJXZ+18dB6m0xBMpH3NWT
dbTFhgnU4c5v+2RdVZtte/IRF/Qkq/7639TbxJttO/MRV/R0/YABftmHVwfxI67o6boMtm3NR1xR
sXaebbPuYhZn56/1dJM+ZPfBNuslkGkfsH55v3l4WejnvgvE1+6LZ7z3l3Verf0R1/QUxZwtS3/E
LWXpelNuhi3Lf8RNPVvnWw666GTvvOFnm3b9PnY0YLv/gMXPyzUm4GWhV1/nR1zRi3h9v9kSO4q+
xc7bchE3ybbgTnQld178KiB0rIKHLTsjGn47r3+9vi9JCdJ6y3EXzbQPeED612QDofa2B3zEVb1e
iweU6bp82GrIBNb6Qz7FLNh42z7ER9xa8SEW3ID7oLrf9oyPuL7iGUfZumi2eStBCPIhu3TSBNVf
59+CKt/2OT7iMovPcbquN9vW/4j7zPr1+q/Juvy23hYzCJaIj9gpnjFFtWKLsRaNxI96wu/VoR+L
Azsk+9f+emtOKABau797ahhbt+ZDLvOfpUl33pgsXm+LHkQXaPeN+ZOU387vvF5D9hyvm+rlnf70
w2KMbfd3L8osW/yw6EPtvPjNxl9vUzkUrY3dFyfGD+otQZvxEZf1j/o1u36rNw0FomRbXU4U3nfe
mU+s0Gy7q2L6c+fV/yBVsOu+fPk9i/Ofl95Wlv3R03tfrH0hcdv2Z29r0eI37uPNuvyf/wcAAP//
</cx:binary>
              </cx:geoCache>
            </cx:geography>
          </cx:layoutPr>
          <cx:valueColors>
            <cx:minColor>
              <a:schemeClr val="accent5">
                <a:lumMod val="20000"/>
                <a:lumOff val="80000"/>
              </a:schemeClr>
            </cx:minColor>
            <cx:maxColor>
              <a:srgbClr val="C00000"/>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85000"/>
              </a:schemeClr>
            </a:solidFill>
            <a:ln>
              <a:solidFill>
                <a:schemeClr val="bg1">
                  <a:lumMod val="85000"/>
                </a:schemeClr>
              </a:solidFill>
            </a:ln>
            <a:effectLst/>
          </cx:spPr>
        </cx:plotSurface>
        <cx:series layoutId="regionMap" uniqueId="{D51B2C53-B7F3-442B-8314-C6939A439EAC}">
          <cx:tx>
            <cx:txData>
              <cx:f>_xlchart.v5.6</cx:f>
              <cx:v>Amount</cx:v>
            </cx:txData>
          </cx:tx>
          <cx:spPr>
            <a:ln>
              <a:solidFill>
                <a:schemeClr val="accent1">
                  <a:shade val="15000"/>
                </a:schemeClr>
              </a:solidFill>
            </a:ln>
          </cx:spPr>
          <cx:dataId val="0"/>
          <cx:layoutPr>
            <cx:geography cultureLanguage="en-US" cultureRegion="IN" attribution="Powered by Bing">
              <cx:geoCache provider="{E9337A44-BEBE-4D9F-B70C-5C5E7DAFC167}">
                <cx:binary>3H1rb9u4tvZfKfr5VYYXSaQ29mxgKNmOc0+TttP5IriJK1F3idT115/lJO2JZWe2AoyB99htUSTy
opb0kOvOxX8/dP96SNar6kOXJpn610P3+8dQ6+Jfv/2mHsJ1ulInqXyocpX/0CcPefpb/uOHfFj/
9litWpkFvxGEzd8ewlWl193H//wbRgvW+UX+sNIyz27rddV/Wqs60epvru299GH1mMrMk0pX8kHj
3z+6q0T+yKtMrj5uXyO/f/wjWaXrx9UHN68z3X/8sM601P19X6x//7g1Dvn44bfx7XZY+5AA97p+
BGLKTjgyOeE2dZ4+7OOHJM+Cl8sGJuSEMGIyG0Z+vusVsPIujp74WT0+Vmul4Mme/t8dYOsx4G38
8d/fwsPmbWwACACL3z9+zqReP3640yu9Vh8/SJU/va6qd/PNo36+e3o3v21D+J9/j34Bb2v0m1co
j1/tf7u0DeR/Afkc5ps6AMT2CSUMMDStZ4idEcTYObHhGiYYwH+N8WSG9iO8TT4B322CI0PXzWGu
blaw0odYx/wEYe44lLJnkPkIZFjHmJrcYhiuvAb5vXztx3rvKBMg30t3dMgntToE5s4JQQ6hNrbQ
0wdE9Fh2I8Sp7ZjWGPOpHL2F9hb9JJy3KI4M4btwdZBVbaITi5k25ZS9iTDlGHFO7G2Ep3O0H+ER
/QSERxTHhvAq++DJdZAfQD+TE4YtZjlkLLMxO8EAPub0RXOPMH4PT2/AvDPEFKR3iI4M7D+SQmbr
AyDNT2yHWiCvzf1KGiwxBh8LFv021NM52o/ziH4CyCOKI0MYfK1Vs65WhzC3+Ql2bILB5H5DZqMT
m2/0tjmS2e9iaj/Ou0NMgHqX6MjQ/iNdPebVQdYzBc8YEQ7LddvyQrCQCXEocp4mAR4t58kM7Yd5
9EATMB5RHBnA9+twlR7Awgb7CzPbRhbB+13nTXSEmti0MdmH83S+9uM8op+A84jiyHC+zB/zh39+
HZv4xHSQAyEQ+xlmEMzj5WyZBLQ2ptsLeTJD+/HdJp8A7zbBkaEraq0PYXU5JxaGVYresroIPrEs
WMIQANtGdzJD+9HdJp+A7jbBkaF7kasPf2TBOlkfwugyT0BIE8p/xjh3XCl+QkwK2ho/W2UjpN/J
3H689w0yAfV9ZEeGvbdOPlzlkEI5iOxmlgnG1ib6ufnsJDBMiJKZFBIYowzGu5jaj/juEBPw3iU6
MrQv19UD5GHcA+SqKLIdm9svUI8XOUEnJscOrHFznzU2na/9aI/oJ0A9ojgynGfJBy+vwLU6ANT8
hBHHtshLVtIZ56wAakh0YEho2Pugfhdr+9HeHWIC4LtER4b5fZ2sqgOIcQpJSoo2XtSzw4xAQW+Z
4BAaIw7nHFsjE3w6R/txHtFPAHlEcWQIzyFNnx1iSdsnjGLbsvAbvvQm+Mkt+INH2arpHO1HeEQ/
AeERxZEhvMz6w+DLEbEIYi/B7bHIxpvAqGPbsIi33ayp/OxHd4t6ArZb3z8yZBfJOssOoI3BgybI
ws4my7gllTdVBQ7HjFoj43oyJ/tB3SafgOo2wZHBelqn3/PkUf/zyEKAk3Ebm+YusibkHjFFUBr2
7Fdtr9n3sLQf4p0RJqC8Q3NkQN+tHiqorsv0IeQzh1oCSD+akHt6+uw4ypso6OYPhMo2n1GI5H28
7cd8zxgTUN9DdWS4L9NiXclV8s8vcArFBVBYYJkUP4GKwHrekuDYOrHAKLMgz7EP9fdwth/znREm
IL5Dc2R4n6+rQ6hp64Sypzj3M5T7fKhNkSCGctBtaT6Vn/0Ib1FPQHfr+0eG7MUqPoR37JxACBNC
15BQfvrsqfRzsIVtzkY1BVP52Y/sFvUEZLe+f2TI3iQ1bBY4gIR2ThxqMwh1vfjFO3oZnTgmh+wk
HfnF0znaj+6IfgK+I4ojQ/hipdT6AHIZjGwTSr6481wjgHZ0MAQzbbhscnskl6dztB/hEf0EhEcU
R4bw5eoRir4OsIbtEyj5AieYvVRij6OXgDCywfQ2MURFXlffT+doP8Ij+gkIjyiODuFKHmAJwzYp
h5lQpIteEhI7qSdyYlEMC9gZBbcuVxMZegvf1+ST4H1NcIToFvlB9lIwSB2asH75i5Aer2CITju2
yTgBI+zpM17HlZzK2dtIb40wEewtmiPD+1v9/RDS2jnBoJAhnvlWhS4UBIElzWHnxTbKU/nZj/AW
9QR0t75/ZMje5Vl+iIpNyk9M6tgOg3X69BnHOyBiDbstbBNW+za20znaj+6IfgK+I4ojQ/gSED6A
pQV1XLA94lcJyE65zyZPTDiHpT22tCbysx/draeZgO3W948N2XUGZbjyIPBuRDOoV8ZewpVjNUwo
VHMxm9IN8FuG9HuYegPjnSGmAL1DdGRoX1crqNo8wEqmEJmGAh5uv7UZCloTWLCBwh5nIqZztB/n
Ef0EkEcUR4YwyCq9rtb9ATC2T2xmM0bRW9oYn9igjG06bi/xHp72o7wzwgScd2iODOmbZPWwPsxG
KNC4m9X8Ur21Y3XhE6gLgRwUeXaeRrp5Ol/7sR7RT0B6RHFkOF+tikP4TWB7gWFtwj6JN21rqBaA
jRZ8VA0ylZ/96G5RT8B26/tHhuydVLHs8/qfl9WwCQrq8wC6n52AxvVb4DnZsHnZgkDmtun1Hp72
I7wzwgSUd2iODOmrdbM6SMcncJBswjhFL7HqfbIaQ8sQ0xnlEqdztB/lEf0EjEcUR4bwJwlb0JV8
PIxx7XBkUfpSCbBbCsCgVoAhaPk0UsXvYmo/zrtDTIB6l+jI0P6WJ4eJh4B9DVVbCJLDW4U9sKsR
LjAMVXzb4noqI/vB3aKegOvW948M0jtohCLW0HXuEMDa4P2SzcbVN7q2Ab4mIgiKN0di+n1c7Ud5
zxgTsN5DdYSIX0J7wUMA/pSBYgzKPJ59pJ06EOg1QDiEx8zRgt689slMvY339hAT4d4mOkK0BZTq
rarHw0Q7ocYa+rNBf6eXsq6xKQYNoAiIdnCtt0X480J7D2Nvw77nASdiv4fyCCfAHOKfD1I95D8h
+Ge6rjKOEIOtML/iIdvKm5yY0HnW4nQP8r84muIEvg387jATcd8lPELYz/JVWR+qlAQKSUwCAO/P
UGJY9NCt1XGeHbQ90v4dzL2N/3iQieiPyY4P+01/VtjleogIGnhd0IMCqnjf2sGOTzZ7XMH5HtV6
gsR/D1tvor4zyDTUd8iOD/UPF7VUH66/S1UcwrqzTgiE1iCuAnJ/89lJbEINKDjr0IRmj8R/J2tv
or/3GafNgL2kxzcLYKKLVfX9MKvf3Cj1TY3g2zugbYdDPzFo2fv0+WlyPLdcf5YB72DvzXmw5ymn
zYI9hMc2BzZNqA6RIoPKBkoI9IV8AX+nghRSoeDvg94f+/OTOXoD7236KUBvUxwbws+qtKqHKfbz
O49TgEJwBv0A0c9OcjsokxNoFwk6YAfld3H1BtK7Y0xBe5fq2BCX6+og5hzsi7cRhS3Szztm923s
gIsg8vl+U34yX2/gvU0/BettimPDOU9WB6lK2xQdQnHDppBlv/EGq9p0AOSdWOxkjt5AeJt+CsLb
FMeGsF5lUiWr+hAb8RjswkLQysJ+a5MlFLGgTRdBNtrjASfOvIOrN5DeHWMK2rtUR4b4PWxngaOO
/nlVvWl9ARuhIRTzYmzvibdv0mpgjI8iMO9gaT/W4wEmAD0mOTaU6xy21x6k5z7s3OIQRAe7+g3Z
jU5Ag2PMyais5f4dPL2B83iEKUCPaY4M6S9QtF0fxBiDPp9galH01glITx3koATRRiPx/Q6W9uM8
HmACzGOS/wMo/z2LW8+8Oejsj5/Biz35kvcfUgfNt20b4ib71zBAa2PY8gPbuvYFTuCAg18n6z3v
GdjH035sX9NuPePzI/79SznMEXRvH0/366Q/b6VXs6czAl+dUPf3V58eH842HJG+bLLY88J+1Xgu
H3//CBWhdLM59hWym4G2tmj8ylP/nBnbhGs4Q+n3j08nDiIIgdu2zSBYatowZrv+dQla8WNiQQgd
duNu/K0M2gqHT+cYMuhVBRuDNg1BoYsgUKm8frmEEYPWkqDKocM7uOa/znG8yZM+yLNfL+bl5w9Z
nd7kMtPq94+wS6x4/taGWwvB3iPop8Oh0R1UTzHI0cH1h9WnzdF98Bb+n6rbukztvr1G+U0VmLM+
Yt6rl7LnDsDpqztsPEVoBwFllpADgB6o0Ddg+w52y2Jas7q+VmZ0JtkXA1071q0yT7F/0zZXCs/+
/n7QCv2/3HHD0atnIh2v5ICT+joqakPwPtCO6FVOUpEHubptq5yfNdoqruzY8oWy53bUl7PS73xr
plPNZlGQ2X91kNVa2jRsRF8WpodVTgXl4YWVJ18yTmK3qNBjY8Q/nM74MxsAAUxMwXIzElEAhzhm
fWIJSkI+qxIjFWkgg1MztheqT+Qc9oTReVDIfOH3XebKTkaCVTUV2YAq4RN5Z7TcLWr5iTfNuWPR
XDDZXBilDyhFUqQ+L0TZas/sqejt9tb3k1b4Bj3Nc3zThFTAEZnLDNVSxFFwnjtY1NT4XBk4EE32
VzPQm46Fpw0b1AxrtZDaXJgFPwul1YnQztu5UVRq4Yf9ZV6z4Y5p5FSisnqV3eVlaJ/aZeFGOCtP
Szs09O1QmPCLOq26/DoJzAuNMLvK0sE6NZUevLSm5fcY8Qvbbi8NM70omFx2cXtZOf6VgeKrfrC/
4sSxRWkYjoBjAecVkQ+mhR4TI7dmrWVedoV55hPqNXFxof12Vtf9sqfyBg2lm/mlJ7v+ou27i5pX
uaeHFLmB1Z6rBn0tazIzzTwQaTZ8tpIuEH7ax1eyzm6yWC9q3l7FQ3yG8piJrrCRiHXVirLjmVBN
jITZJzMVsc+l7isRGSiYk7Sol3Xd6kXiE3XLZdlfJH1uzRUn50n66BjttRnyT6qusMBhokUYVnNc
pGd+Im/qzLhrm2weGgBL3iUzLh3BUv3IwnoQ2I5uSdDOnDqtRdhhD9oYembU3+o6D4UqGtduzUVb
NXNk+p62uUgx8vI8vxsy8yb1y9JtO9UIncTNp64PP9k+XlZt7fGC/2nGmdsxq7ovkEHdSFY/MtrA
bHIWtM3EMPiJMJHp4rhZozY4z2rbK00cuSDBliSNbJdSObONVmA/uAllc2la0WlppYsOWbOEZW7d
+edK5aeV1Qg1aM9SxhXoOI+0xhIExW3PAy18iZSgpj8vHfrFrJRLYIW4ZZy1IrOS/jRurWRZJdm8
kEEtaG+cxWq4V0Ubij7RV7LK76IGeVHUwLT2I8etOVk5dbSKGL/MyyQSXdTGbquqXviqTV3Lb/jp
k5h5UUYvcu1Zkj7kRV/JIHw5FPfXj/+5z1P4+3S+6v/+cnOm7v/+tFjnm2yHGn9pc59f34LbvNx3
o2S2ftjRem/otedTe9+4+LbSe626LCjUeiVqd/Tda9Ph2ex4UiFPVD+VHYYSoM2pBQja01vPauuX
soN00aZGG4ISHEyfTdXXi7IzIdyEN3tg0cbegc73oCJ+KrtNHwoYEMpLOJwaCM2+3qPs8EabbWk7
B062gbZSNkS+KJQsQFb6tWbQA82Lsq67q6ylzqxp/bAQOY1Y7MasbW5tw+rPoq7J4hlCsf6mc7P5
HJuqK4VysvLrq7e3RzFujqMdcwPFUHCwFvR3hzOLN375a27MrC9iJ6ybK1Jm+CqIh8wXNcvt0O0a
nTuiac36G2sKQ4oq5bp0y6iKQXgNipkubGDKHh2t0TWMEdYeSRL8ebAMjhe9bflr3Bu4m/89x2Rb
s4IOh54RoMzBZHDAXIHeEiOOJQsB215f0c4KAs/uhuRzA5FEOtcMxJ9o+g5HnmQ+FwOzeyn6GNFF
2lQ99qom149hpxR2pVFYnoITqUFKpSFqQPVZcTAL8ii8iWvnLFVOqDzYg+d8UWF5Hiet1c2kMuxL
WYVNuvj7p9qFAbZyIWgrCGcqwPmETw/9ylxgvRG0RpGoq0z7zpc84JgIMyYwNYqs7m7arnLuCh8n
f/79bTdz7fVchLb+cHgto3ByGhiahG7YenVbC3WBWaggu8r4gK9wHNZXmapcyf3wy9/faWNhje/k
QG0t2J+QsWd8NM+KzOyHsgrzK14gc1W2eZUsfM17IuIinKGyTgaXop7nbkStNv1vk2YzKbZvDxMF
DEwTToiDFqzj20MUWoZBlsorVsbWKo1qaxUnGx6sIVUzu8pz0SOAftEmZUtEGedsrRNHLVunNy86
m1bIpW2Ux27EsvQzrQqwAkLe9+vCaAoPGUPKXMvJzerUovZQi79/e5t23WP+2UZsQBYbDg6H4vRt
oJBdW5ll+cYlrv10JSutAoGNWGcmqKY+C87aUMbfA+4UF91QhnM7NzvpEtywH5oNQ+72YcBcM4+a
tawoe2ysImRnf8+kae2ATE0Kk2gT/IOaWjAft7m0Ky5RFWp6GYEl5jvc0044LDrdUWeum7p2q65E
t03aW2BVhCFzK5wtFKmKRWIWxI2TMv1UJFbaCZa0wdc2SvNlr7QWhVUWn20Vc88vM9+t8wjsT6lp
BPZmpLKrtjDUdWkMdBYE2ImEMfhZ6pImTE8tWyefSBTcBH1GO5HUrLzSfnmvSWpQz24IvEjZE5AN
Zj0MArU8ukhCi3/zUW2ehTbHF0PQNY7botBMXZh0cmnwqk9F2/PBw61leEPUPRSq1Hc1MlgoWrDf
574q66XpE3JfhriNFz4zsBRDGPvfoZapaoTMSuOvOmWpVxSKLOM8K5a4dJJH2RQ2rHuaxnfS8Tsm
mtIMziq/qt0e3sMCm8S5Ltu0m5ltVc4x7nAzS+CU6sBt2oCXbkNCf5YqWnl14VyHvhEgD+Ncn4Kq
Ia2bocgWXLPkzy5F4TmpnOLOotpa1E5kkLmy02HF7byaKdRFw7yJeTA3ug6tiEraHyooCssdiEa1
yALSBPNORzksjrad9UFT83mV+6GXaJqeZvBVAeIcjGG7SRsmIhVFhsv8loGTYnWDMHXiu1QbWbqo
7HgWmHWPbluKTU+qCiUigpmk51S3jlp0lHUXdjwMiX9bt6VOU9HLpM+qx9APCRm+qdboWBoKpwJR
nj+QPo00reCEqLou0JWOdRp3Z44sh0Xj1NpfppWUhYhIkt8hZtBl1FNauzVg4IO/hZwO4Eo59zLf
B30Itmxbzuy4DZBbJRr712GJbJafxj1rQ6/vEkdf2EpTmFGtn2PVujXowrlthJF/3cDSsQO3BAMY
JhyNVTrPElk5IilBefmzrpG2a/gQrrFE76PMhEPP/TR1Q6du/XmbsCSdKR+sgrmVBeng8sECiZmR
2KzdNKyMRDSqD9SNkkaazvJA8h9G3TCJPJQTvZAmr/mVZfiBf5ZRppkVuVmnyqE/VbA5sQpnRRCy
dOarZijnTqUyOe8TO+1PkVJp4VoEPEaXdVafLCpZSsMFWMlXo0gH7MGWqTj14B8yrpMIGQpeeZZ9
jdLUSZe0cnQyi0NtfxpqDU5VZOQEn4dtqFgmWEhCvfCrpsjuQBnTsygYSDyvwfHLZrlOgmHGcTc4
Lo/6or1MeQ9T24ClUnk+xvVZRS0r8QKfBrXHsgbglEyBfZINER3WSQx9bTwODKQe7dOwXGIkzdNA
sth2SRyX1JO59L2h9mNLGG1VODeR30amS2UZDSItosE4R35igt/kBxaw67BihvtwyJehxG0wix0z
bMXmewI70gHnowxo6XatNAahO2n8VcHRAb0hJKwjcoWHTA5S8MY06H2ftKS+sgunz73MKfWlVWeg
kgLFYiBwUgpvy5chzr5BJCELz8o+Tbq5aq1BnmMd6HszItbK6vzUFxzD5J3XWcfoTNmDBOZrHKVe
QstYubz1ZxLL8lvStmBZREHU3CnLbr8XVUjBA28Df8ZjCxGRcR/GsZI86uZZ1eCroSuoeau0he+x
NuAbrW0o7mrcs27WgD8mT6uOkHaZsUCRa2kw50uGys3kjKJSLViiQnXT9abmLipbwCZsM2AsVyB0
z0GDOV8oRzC7U5CSlQdnEXX5UivHJzdRVcfxJ8Izx1x2ZtTWl7rTG+Mz7LsbKzbsbpa3Kdw6z4eh
ER1J9bBAMds8/Ib1FuQT8FWk+Mq0MniKGrxEX4RxHg+uEzewdIokiOVtVjFY8lUNVkEA10CmEp2F
1yU2+yoTtAgRwN1WXX2ZGmGhhER12c076NBAZ31Tko3QgMXkwhOBAOkcvLGTdZZ+gViBc8YbKbng
oRXDvOgDe9VmFNjoqqj/RHWH1HkAZm50nhdZHN1x0BYLlSF8VTpB+Q32K9mlCM1QkrOcB0597od5
0Hh9xcoWDNyeLgoCr9VFrOwf4iS2brpaofy0RH0Tf23tNFCnqW+kP/rB2cgQWSahB34ApzNJ+lDN
Czt1vhrIT+dpWwSlYCaIub5qw08y1+rcSePI8ixSkQDEHhwbJpqQOF+qyGiCWUIyWCaD4VNnaWY5
LtcpCOT+DI43gLXRbiT2LLIMeKNdMzQzUDJteY6rmtiu7yS6AU1LGwSmdxn9VTmNc2/0YKafDY6u
8KNWWa8gsIBZs5QtgaG6FIeDa7aBHSwLgKV1jdix50PeNPqy61kCLrkqBWfq1Ey7xjodWhvAiRFW
w6JI4jy/zOzOvDA0MvNZWGZpcx70bRG63FJpeA+WiHpETgZiBEQnxC/iULVKOG3DS9ACfXmXBCWW
f+J8oLwRA1hg/edCU8OBwZRfzUJmxMGZ4Rft9zBARuMmTNnxUjoI33bK8IdFVZdKzuRQwySVREcQ
A4uTwbpK7SJJRFk0yL40cWh2bg/WjZq1YQGotTyTgagGloLsUCqZ4Y52ldckhFeLgZcw+2OzC5jX
+z1Srl8ou/zaWj2+j8IK5hpoOucLzPVU3WROhkHAksKJ5jwN7VZ09TfC65ZjEccN+2yRrGy91gq0
eWn6CW8+lb5yKlDuMKNnhaSAJjgOEOWSVMf5BauKkN6QDiX20u9yB56r64zgMq6MovVS5YPMAGus
1pdJ4gP/lRMHcxXyOPTaDqFlX5qw7nsIXUth+iG7fLJK/+kYyaV8qHKV/9DjIMnrGMl//j+PpOxJ
HyD43W+vQzJb6QNQxHr9Ov7ynHPYEP2MpsCeSGgOtamhRZtaSxsqKX9FUyBmAvkhBnupGAWnFdyB
n9EUOOQXegGCIwBFeVCcu0k4/IymbA6dglCdA7EZCi2pHPM90RTINow8I2vjwdoQm4HCA8hIb/h7
7cI2RafAIgrptepM5A5ds2x7s/RwRKmo7HKeU1KLSvdfGRmopwLzoaL8Qjt97FkboRd1vrnQVXiu
2xyJDGWXRgThbz4UtQchzKuuspVnOlXu5nn9vXeyb6EMZqCJP8VmtMh6fUYo+VQWBYTcy74WTkGU
qDC5yFKwKQKDfVaxk7uJk2oQR/7nIY++WmBrCVBanWt36bUV0Gvc2jOnzM9YUi5ja6DLofErt44J
d5uwW0BcZkZ48cMswk91G1hnWeAvIGD4ncteOGr40qk0FzFJCUT741jYZpp5tPBd1OW1y4rwS4vr
v+KuMd0wDk9JnWeiUKwSaQgGsm40hP8LehWn5VkSm1S0VfWjbEIsOiPX7pDwa5lWhdsG5XVkNcVZ
l2qQIdIPPJbmMYjJKnAdFPhXys6RBzbrAFF0c/jBSRNfNSZ7GCS83MJPw1sCEkqEqlqHGjmXUZ4s
LccACUGKfhFmil8r2aUzxlpArQ5NUQU6cOO0a8FqyULRRNheyAbi53YFAt7sWHCLAooXQxEFogxk
AhF2GgjwR3IhUxrMUJ9Ep5RCiNuQkiyicBNpGMBvtjvQayjPQT362MNdj8ANVXJuosKfmy1NZlWq
yULnNJ1lNLqATMP5oKPrOMNL3QeDJ1P+wx/AmYpYas4MJanX1300wz7rF3EdJDMUhRxeBO5noOKc
hY7sQERdVS8cAtolDSoIHYBd9ilrGV/UhRXOINkenSLk+17TJFQoSo3bBLZAiHSAJy072xbSRvac
B4Z2o77los+DYmaAtQfiO5ZnllLtIiDhfU/UTV2jbBYavBe5LuA8HAW2S2iDh1E65lnhKCoCvImQ
DZtXJEn2V6us6HMGpq1QoZOd9jWEA0kX5CLxM3xt8RDMt2LwQcQzeMeVUZ/yFuR22JoQ3Ge1fIxT
yQSKmD9rgtQ4RTqa11Yy8/3MAb8Y/NrUySqIu9NUcDOqhRG13KuKNHHtJrJvB9zdRl39yW7TeKZI
hKWbkOQKnGN9CvbTD50N3zVuwrkucC0SJ6kuJehCl3a2l1SlvYQ0on9hG6xZcD8zPxGj/iKdXBse
0pAWWISkw1jIuniA8P6MDUYM1mSUCMXDcmHI/h4bLZ53YWC7qHHOspTYs7btsXCaepnUqhcFhFPA
FwxmMsuMM8NEp5LSz42KtKuC8D4tozMWZTctU65hsEtl/eUzcl7ndvNnHyfr1tYXnWkYIqsgSsnb
ur2owRE6dRwdCVnJWAQxuiBwt7AIz5vG/FGC3+DiIblELcKicdiXgUPYR0YDF1qlj4pBLAhcxWUO
+RkIlF/UloQ4RdhQL0t5voglBtu4CS2v6/NONJIxCOWmy0yRwmWKWvO+BwhxmV7XRnCXdP5fKK+/
FSaIB46KxmNxdS5bvOpi256pmEKYQeXBHNd4gSWFWJlZzZpIEcEGnIpENZeKt19rSMd6zDBvnI5x
kacsW3LLgm9qFIk6Thq30Pl5HaFTMDEyt4FMTITy8lo6uhcRuJHC6BxPd3C0nm/HwmqkB16+/S32
69Sa5Vl3mRH9kJtsmdXWn2BZWEuZYhFVw3eIh4DXn3en8NDJPCQQqUjx4CU2uwojkDJObghStW7s
GLlocnxqlPZp35ZeRCAFasj2FpLZFwlR1PVl8l1z55Rl9AoHxcIwy0UA3j5g6nYJhp+tVcildJWs
fyjJbiB8qGdN3i91aoazmiWuYca34KEZoAtqN6H9eaiT29QxPCzD+wRCzqGdnbI6ybw6lfeJ1C6Y
x5XIfMVE2g+nPkSgZOJypDrIABCXErT266wXoMeMfgHZPsVvZBonbmBnn5CsqtlBLKj/g7YR2BJv
20Z/pHAMa7XHOAKqX8YR9KCH7l3Egj7XcCIQlEH8r3EEdhNYJPam+zWF8opfthG004VGqghO5tzU
QYLxAmbTT9sIiqIx7GOFKPmz3cTeZRs9pUJeR72hsALKe8BA2lhpcGDRyDbKC2uIrd5X1yih93Gu
7oiyzlNT3cYdmCttY4ZnAQKxjM3TqO8jL41jf+43duvqrvYFKgtwB3uQ7BDA+IRMEHxhwbBoTW1D
YhXfalRCmsKBsTKWh7MkKvDSCSoiijC5q1gWiSHLucB5d2mUKAfNHIERMTSGa3SW70EYKpolDTHA
PmvLK5Sl99D50LpkzZBdRIRokdukFIGvghlJ2MJUTgChk7x17RAU0VBl92HGqQeJ20KgSi3Lwpr7
XAcgpSDKwcx0DbHwLxBHNERCrNOcGnfGEGPhl+py2IQMBiv4DnnCSJRW3btV3s6yahnhCxzQxyZc
VdTVTgDlDGDotE0NeYGhhhoJkONelnSxRwZVzIo+WrVDXohOV4+1bs+wLlrhIHigqvGXquI3vcEK
0WczY7ioNT7rTP6XFdnLHEWmcHqQkw6zLqqggmXcdcJsoK4i7/B1bFeJCFD9P+yd6Y7cRratX+W8
AA8YweD083DIsTIra67SH6IklYJzkIyJ5NOflXLbLdndNnzv/XOBNmDAglzFTA4Re6/1rc2cRC4u
iRfKRHEu9+HE3ATq4D0senYXO+WXmfZ3so8gDrRem1akJBs6CprI0JCNF0w6Hwqh8raZ6qxoLEkm
cBC0KveLrljiT2VWR/393Mg6cVdN8tGDnRHJZUmCGDpzAHEh56MyD1y5WBRJ/MIdUSeiGrajWx9k
Ez6yeH0nDu+3wBoS5aq8NmWcCVo2kLKnMhnYsLOuoWmgxgPeyyNx/cZt7HV12hSkdy8DU/1DVIw4
8CSToRG3K5u+VMKKPTXOBTf4eywqkUyoAw9lQ16n0Zwm1JqZg0oiq6z3MVv9YcJl2Ug1A02RUbGD
ZPm5wyOKcpuWaVMFzaay+sGnXB67yD2Yun4b1vi4jmRNfVFuhXVuxmUZEulG7kbxgiSiKWwySXlW
9YrHxzyWvPg8lmG06z2IxLXTPRSrV0KA0i+jF+6bUfFd5IsDps61iViCbhPJfh9w/2kq3RLcTx8A
iVkf8DvtzWh8A81IiFzxYEq/64NmgtBL4uvFm70ldYMiyEjBXqSop9SsWidS9v1BUj2ns4MNvVyq
EVtvi2J9luKVuwXf9eA9LnXgo/DyxmzuF7KJdPcc0bVOuCohydQo86iocIGGPi/aWkMeaio87Yru
ZQXSQ9RBmU1U7901cvdjVO5DUrTbAJ8lGQNvSbAsqiSCrID6Z03E2O+YGne1E2S1WBXke1VDY3MI
njSmUsiHc7KwMsxiLjPFCARg/Ac20UvN40RI80Tm+uhP+iC85Ryz6cGERier7LalUzRJ3xVr0jfk
bGb9VAm/T9qlvHRM3zXcPkfNfJLd+ioLqFQN7OukE/UzLJ4Dm93dIuWjikDWjLp3E9T9XhK3800j
xzx0J7HplkiiLJhPxeTdNSCn8tmSPKTDgWrdA97S35hffKo4uYWPdobtdxnrcEwjIz8XBZAl3ayv
bYmamo1RlEPj/CS7EJ3NUpSJosOjKNlxdgaRmxZ3DXzepXn2dO3vKhb03hZZGJqXAg6FX4lf+Lf/
1yLI/39bOIPF+O+38IcS/OP7H7fw60/9toWT/8ZboqB3AhbBVJif9A0Pb5iJwhj7O9gIpM5+28Mx
2JGAMPExaRk5tesO/9sejgwEKgH4tLDVQVpGof939nAMZ/69vsEYYAds4YEPhQPUw8/6BhLwrje0
Y3tx27BOfKZlQph9NmHAt2p0biFOT9iMq1PT4uGalmg3LmgI4efLzMzRh9DVCS/CegR11aY9GaNs
8WKsbhyPa+TtolZvAgW7cCY7C5eg69ASWQd+iUfepK/SoALx5M1lDgLlvQzr06L0R1iXuY29XDm8
ThYynMaZfQF0s+VLXCWehE/uVJ3e1cO0m+L4KGueC+pvVlrnznU3IL65Cah4AvFytrSEszmxaluu
9L2d3A2mfLwCyfA3YVFAox+7ZTuRFhIDGtCEBfLgz8psomI4KursYq+Gv1Q/FEYN6ex5NocodNcT
xtHWDRtI4O6uw4c7eiGl6RrZNXN6LD1OF97GXvsV++CwXajfJBVvvMRZisepFd/aQc+Z21u0arI+
QV4VWcVpk/dmaK91kA87TCyoBqK8cZZD6as+47Z9Uv7kHLoR5Xwk7sqpHOGpxAdiHJ6EvjrF/dUR
1luq5jsgl06uV2dJls5uscZ+Iw6EDge7+Vz2XYLZwG91Te4XOTjJWIgw1a3XpUvgPa5d9db0Y2bb
zkuqCNSgV1U3YJuO9eh+k3INdvU6s4xWeslLCd2BFN4d4N6Xssbn5wt6qpWLNQ0GttMBypcBDglc
Y/0h6mbvyDazfEpYJSEPKIJ2GK1e5c4S7mTcJ6IvX4ulu58nKNUiGsDteXrLedgkY48GTi2xn1lo
Neh4VJyRrmHbTuhbIaIXnxS47lInDQHU5HbDG9HVjaqrG6jUMNc5iVK49lXGaL9C3VpoCqsem4ka
toUnzn0Z34yVH+5bR/YJl9XZrcXbWI/VZmybLtHVlM2sB6KID2rN2iSkNbuRuBdKZTqALtk1pDhO
XO9lPzxpx2yF7E+lEBsWzDG2s0qmXJo4Z4GdkqAt3Sxyzes6Vh8SBYxTz1tbDUtW92Ob9IG4Bbfy
4i/hRaD5Q1dpHqKm3Sj3MK5nZU6FAy/Vjfd87m+J31+oKXatv946Oogzs5gthVmeaA29T5QrikpU
fUENN8DpqiKFfVwkI6hU0eOX9p0/pFFAu9QycJGda76VDSrRufPCnF7hRFjLn+c6yKyIvoWQUvbC
Geu00HG8Jb2/L8noZ2vBuimhIFcTmGvz1nFmnvuzV6QiLO0mdgBTgXBJ+FyqgyiaetMZ9lX7im10
2XwVnnlFJfxlDW2dC9l2CffsZdEo7usqMOmiApVjOTJeCkeTTkfKW3XE2oMOOxpCiEcj+oa+U3u/
B8+58fQQ+E/GbaJoW7KJbDVbBjxLINKSOZwneMCazySPeofNyWioF+0YDM8BLTC80DPogUU/xG5H
1IONJ8c76lmLo/X7tnydVkbNbaOGneCKpEONjV2whm2qyodg6KJqnfi9LDyTKuABjPV6MznTvI2c
4OiHc5Wh+WOJboMvoxASXC78uK5mr/Afo7Q0pk6IuwYHT+Bmbvqoga6F8nzxxaehYO9lPdFMRXWX
wDf5Bh7GpF4JLZT1wIxc1zTofSaYPShdlkFmcwVbphmcE+unO6fQqFHFJ1PZbytQWTsvdSLJ7CZ8
8NtUevOhXPa+a7sEtvR71Yj7oEKpquhVSES6I1HKPri0PsPAuXHq5a0t6bcVCiOWf/9bYzo4tVXm
rAe6zHXGoM4UfLpvZiw9bukm85zN7bGFJeM2LZqUWbxbvu5Lz5tQdc5BOlZrn+BmPAdhs2aoNKG2
Os4dBnbQzIY+FFJYpqu7AB6fixRnYYCQMoJoFq7aesxgbWdDFsZVmK/TgmepcB5Vk6Ere6GTBDbP
6iIrnQZCWRNbHHyCvt7EO2+NCQrdNso8W/HURiC+u3mweSjszRApmkSR4dA2w9vK9ifdhl06D8Ut
nL1EdnLHtXoPYrvkkKcfltYZ87WDWlvE2ED8Wj8VWstM2/4F80cPtdPgM+r1FWBIucFTx3APrCKB
W+6gZVQfMo6fsEBv3KG9abpSJZR7O68WT6OpoCmGc2o4imfrXdDY3ce++Fxho0vwatIzc9WR+Xju
TM+KbbGSKfXdac8dgy1BWZ5QHzRT2TT72F+ixPA+rSM6bqVf2bRi8rap9AWVyAZa2LPpyG5oxjJl
Gv3OotmcN25ncry/dszipgi3DsffhqYGjtOYbe84ZBsgHLBXOKGpLNtbd0AHGIXqoHuotGMQH0I5
P7W9cPNFYBPEkrVxqpVvoZIe2z4O0sVCCJ7wpB05oZeAqDJxJGQD1bvdfqWQsA3U9WTxxgLonLdn
rLqUukYCAxKi0wNvxyKHBc63u7WjeCT86EInswIE8MCUiPlLL/iL54+3soeNwLwvc+Bu4G++ioa/
QvoOMuVV+6IbXl0R7Ty0DBb8uwfMyKMLbPH2SjjZd961Wx3Sj7hZD1xXEJrDMYmV+9Cz6yLu+Bus
9WX6H+XMBbQMvu/Pyu7/aUGbf/1D3f3Lj/1Qd6M6DjCtL8B7ozyUyf+UzigGKQO4dj1omT9rZ0ie
YioAxiyz60QQDHf5re7G6wQx4svDO8YCOJIspvTv1N2ACH5fd18tygDDQUOATHhJMFS/H33FaOZj
rKMSAZ5KDYeojdlp6udj1LcjdrXpOei6bKxVs+tF2K4fpZCjc6ehmCzjWqWAltq7uERdpBqkJjg7
CDh0qE9QTpF1AW3cEGdbtYYl8PQ2vDHlHkgb8iLYNBJAB7xMYzP2my4cWv2Aiv4tLheRONDHkhBc
EdpqKtnBzFi9/aGfyyJdoqU66LbJFlo4O+VM33jcrwCd3WK7EAHkkjQxTAxunoc4io4UYsgp8noQ
hdXDoL0SXUO34OEiUZWZyYF8b+I+Ex5807ataEID6G8TSswmnFQ+cpL6iqqNPw/nyC9NYjwRb0y7
zolTKIBKZW93k5VnImWcqn58myy/WYjNS3fJqKQnl/GjXbFkKKSkkgqARVJHUWq11HmPKwzpz1Gw
zhT/VlgRfFrW2iCw4Y9lAtISEFwpyS6e9H3ZeA9R7fZ6P3yPAlXXVBBYybS/5oTG75GhAH7jlJS6
CE3ihTB9PWKxefsFdsJC2/31FQFb3TfYf7r+stTyHLDhgBLiPLr0GClnI6Q9OF2QiRUAA7Yxt4Zk
VA1fbU/vKxW//WfxwOJxbaX/bPH45+CHf9G34yd/Wz+uGXPkAJiPtytARseK9BuXgDHO+CvK0If7
eDEdWuZfI40R9Hq8FxpcAnq94Ptf/aq9h0iNoNWO//GuOwgBv2ITl1809T+LNOLlWb9fP5AWwWSL
76MHESq5BqR/XD+cyPGaaW7FrUartZ5qOvj1GWtaTXOluvYSVqNRadf6Z38YL7qMvjBe2nyi3aMh
LaQr0t2MdHpDpOvQyv6+6qpMOVQkXl2c4KSdhhlddh/C7PUMzybZ3JSufVnr/iOuYBUJQ0GgNoG4
8/m6IR0igeXaIqpUQrdmSDS1qj4pZBNnSBzZ5JmefKYOUktgiNuN5SYie0z2mKoDbQLFt1ivGPBo
EwdI/g0eXO/CgTKRBGbYh1XYbccwPgRttLJHr1AwFIvO1jqLY16ym6mu5FttCzTFxuvoxmiDZ0fp
+hjKPqhBR/gS1dsEljqW0VTvmh4mQD5O3B3zzr+uO62dP+sAdK9t+5dw8HWqSruNTDxthyp4h74N
Q8GOsI+j1qKlEKeqcMeUSsVgR1T5uBbgDqBZiMI8Ubd4dqZ1r0Ln3qA47I3ds6XPjAN31vq3sQmW
JBoCEG8U3Xf1PjjiCHTcgY+uTzrsIVw6wy4qoetPMbk32tkD38+RATxHfPhGQVV0jt2RSh2gP+x4
Md5gMT53dD5rMX12F3kfl+2O1sET+sWs9MNdQfhtUBqZjO3w0A5rEvZV1g7u1vryflKodWe7rwP2
0oVB4sZQwyN5aEFFplHn0byOv/VE5KwNzp7VOdo/hCnXlAh5Kip5iRElmuSKQjbKBofkfVieV9Hd
IsKQxP6K2AfbyZm+rFacDK0TACRnXEv0S+gHy/JcF+IsPejk8Iu1Uofar7eIKX6iPjCySp0GT33m
Iqrz66XnIfSmCRmbjmyjYL4hRqpEx+5ZU4DSY32eAno3LvA0VufJL719W1+vsBbZ0HR7SUBLgpiM
i/EjZhK1cfsCwelJuOW9Kp1NMfg3eC/0huoOnb9Bs7yQG8vmzwYfIgXeloHQuCnMeoCsliKPcMND
grJ1Ptq53GMfBiG4TB9TSO9NPN9PSxMnBTf+HTKJ2yqw5Tko2GnxaXc7tW69h7WKDaeiwiPgAnG+
/Hm8dQP/xhLcUhpwamukk46BHbJBxl8XPp/ductY592EFb+bRxVk84A9tW3DzBvHT6pecPt5Acj/
YjuPZtk4XvEJff/JxnMJLE8/NtDiPMeDjs2UzKkANEyafki8joWpU6JlHIzT57Qkp4KxezZVE5zm
DirJjCtuaoDMg7OVDOkC1Pu7oWxgusmw3owzOalab5uCXwMrCDxgs8Xdgat11fJjLS8jANu0Z/JI
vXVKy0UiTlrdsqK58UZnSyCwdcF4HiitEjt2XwbW4WKsDvKV0mZ1seBkqeDOb6O9AOCYTaJGpriB
fF+sM0yAWqfCpXFKSx/MVDXcdFULMUg5aUfFq0JQKlloZ1KnW8+aeKe5qb4G3ghnPqK7Yuj9ZK5K
WI61uQ96+qzi4OD4MFwc3W5Anw6QquzJj8mSGIYVoHPaIY0Ro8roWOgEys24qfVyI0Zik8CrbsGB
P5lAB2lZzo888HG/I6nRg68xUXNbAPVPy7FrgLvUT7Hp+jSuyjhhvmNvVuG1x9IPmv80Dr+QhQTy
9r/X63e6A4T0Vf1x57/+3G87v4cQJ2bEBdekEd4Qju39t50f+U7Y6tj20aXgPSwo6n8lElETwIv3
r9NMMCT8uyH/j50fij2GxCJWdf2tv8w5+Bs7PzqQn5JaCFF6mER8fakAKlT47z/v+0oDJEG2xV60
e+A1EK17Ibc/nJR/FBv/9eO8BPfafPzT2Me3oBiagEYI1T5FAsmH/fBjcUGweNR1I4eLZ+MaOWbm
S1B/pUd77wI/YDTZKIK5uVtFFUTna9TqdeIhbe4i11/S0u1meqDBkEqw9mMJkrdoczwK+VrhqdGr
ly5LeymwG7fCQQIrBiEjHpQ78GQpSb6O4f1cyR3q9S4pOwQFKkUyn40HEL+3TtR8bpfm3QHDpodh
D5bndYHVmK5VecuxmEW03YclOG0yT98mHYLMrmzWjizcViOYfKcjbQJSfDeaoUl1WD/BaR09iYa+
f+WBuwehXSdYjA/j3H+0yGkmxYxNfuk+igGUQdQNIAfcGeSdnDZon25Qj9gs6icQoZbCjw7dz7Ps
Dx6Dz0FYj4KLI9ZPn6a5bBNaqZemWyQWPvtFBuywsKnfjPVw6svZZvEYeplfFX5aiOkBk7YmgAbw
1vninTreT6mS3l1rY56uRr86tbdZLdB1zL4A8UbVN1iGgHmwmyThKC69YMfQTizH7IIqaZux3gUI
ZSaAynk617rPq4EOCcFKhEZxfSFIxHm4nInQzr1vHcgntH20HRydOGrenHFiCbXDHhGE+twqi6XL
aQ7SqQBIkJElJOI3XH2BOrWJseJVnaUpm0eZxqiqihV8aDFG6Pk4OUyRnjJlwu0a+l+GCr6EXaaj
DtmXCKx8FtXVt6gLTcoZYnCjih/5GHxj0KVc6OQVBJ2UyHpXUsAFZI5SwbsLStLPpK6Rn2LKgVLd
79sKySFm1KaKELHSXm1SDGuwOXPcOPV7fdGx82S4BkzXKiiP5ZQTVj7wWY2ZCLnG1AUvbxmYJ8Mh
IgpcvziqHyjUXLTU4N5i89JAnk2qJfhW1/EnnzQCuCL14Kw3BRrVsjn1XTulmGgxpFhXnjgw/575
AxgD75a3YZiVAhEfMs+fTN3i7rGjziOL8xGG61sTFI+BgaJqUHgzYLwbM7lPDW+fZNVT8LPXXpqr
Uxc635QTvYHFZEnQQIbziIQrXwCYB4cYCLQF3tLsB4q7P7dsGovdgLMRQ+ocH31u1wQYHO7yuG2e
GoR59/4615fAs4/jSHfOOnx0YAyqZmiTVgxfEUEZFeZ18FyrqNo0Vh31VNUvjCmAcAXU4+C5j/N5
u5RLfdPB/6kc537SdYxgY92OoO06xPaMjY4OfK4MIUGRytb3kxX3L/eG7Sy8E5N+l4aTs3WAOw54
NhOoCGcpwtcy8j9gF40JlrUxYSvZdNiGTbkcIfy8O7M+WlUdOl+/cY3WBGvO/dSTHATRvSDe3hLn
HlhiFjj8Gf3Hm4z8TBD3GFt+JUEuCHOdVqk2q26QJFm+aoMEHNzJrJGqyUHbpQ0shlBOKIgiH2aG
OYehyKexaSHErxlmjNhExKBE6shBJ+PcLmp67qq4yTFM40MCj6Dj/OLID1/jTjRBuPEYMN+06OG4
oTS1FaRYvThO7polfA65mbfjONG05jNN/WhQw7nxvNdOMOcBkdw8ND2Cg219LSIbwYYl6cB5b9Ui
pjRqUTRHXvfcjHIDFurV2vYZetKb24FFcLW/XrDhjZupHd9HSvbl5H2di+gW8b1z3Mb8CnpWid8g
i4euMkKJhfEu3dqhCkdi7sS78qHi/HNNJye1jW6P07qE+dApsDy9u6RMlW89xVW05WNViTqLPeeg
jXzVSLo8oJPtNoUDdhjqsgRAir0H8SmsAdppg0zqAV6WipzHoPaWbFlim/MJbAaecvlSxFJnTIXd
Dk9zlI0txsUExuwMUXZbUGD1XieWre3dMjXtEINMaSo87JW/s21MdrIxiHqpe8lKVNhkWxtmEuEU
AIM84GUBeRx88TqR+YH7U7CPmX4VMdBvxtfi/Ofb7s+K4PdNF2/iBIURAAUIAQv8vOkGrR7gxo/6
IiKbB+S2jh4DfGofeGnNXv78WD9XEddjgQtEUJ1cNYmYhNchCD8E8zG9ZFbXcvoSFXnRPI8LBrU8
/98d4voRfjgEgu5ta3VrLwMeTBBqSWk+seHh/+AgSIMjChegxrrqtT8eRMK6mOve2os3PY7iZnbA
zez//BB/vCw4VT8c4neQIybSRJyw2V5Y9NCNm7VTOaqQPnyvl7840lWy+bnq+vlI10/ywxlrS+N3
gcKXGReMyOnRMNCD7k7W5KY7rN2a/PkXu37w3x8OIxMgakMIB9rwOwVJ8XpeJ0UsmOJXopCJDx55
eVy61++H+Q8b5OKE/vteI/to/+uMQWcff2w2rj/4Q7Pho5FwAQj94lT81Gxg/BYinVAM8QIxhiL9
12YDwSjXxVP8/T2C7vfpYL82G8CNImiQ8Bbw5tcQfNzfkRl/XiauUirxkbOCkQKHArby70wKVeha
tmtPUUfOO7epbkLepJ5Z8h/OzL9oOLCM/fFexBB2N8a4N8wJwSyBn299TBBowN409uKj2d0rBFZZ
7q/60EGWTATlDdLTIZB2JW7jRd+MzfAU0gn+LkjM1CKHnzcTaY5m8uMMLgGGaSyqShwfHUVhp1cr
hyHtohL6/DW1VMr2YcABUzq0F+FWPcxSWLfRSMcsQu409RC4QSImOo7dnKIDAjaJiGcW+wGSPk2/
KQKzweQdlWmUT5lsZtT87MWJwhM2CMz2It5ryVqRmtl/wESLe6ebz47jn1XlGigiSAFg/sweidSz
LTqedzF5KnjUJi43JqNlBf/BqDsEWzfAMF7iaPqgPPzEu+VtWiEvNVAIMwyKuPhTcQwQ2txAlN4F
cTFtZTnhCk3Tkwj4rooYT9uyPCIl97m3ZbMxnTtkgVkQexHzkDn6Gr1hot8QtX4iHVSRldW3LJo2
0XW0mzN42Rg0n3RInibJT2LGvC5Blvtw1Fs/pjsecAf5LkwbsAy0ByKcSIBR/8FZAAF1aozSMP4U
qy53vTnTI2AlqRkQBjDJEfpvXL9624T6WwQRNIHmdXKM9vcgtftrh5mScDlTKJDzIlliIZtsGtJe
kDCuN+CwtmvHTpwXPFGEbWODc1vaBgZx4JtsGONPPRJcoCDvRb8umbfK5yoAhcuRNk081T5Iq/fE
bwzUafeLi7GDCbfLcwtwA7Mg1ls6A6OVZW0QjJ2+kpZ+pbbFFBGQbKKN9+DsSdpYu0UO767D6JA5
FMFN6K0gg9r+y1oPr2Uoy7QLxGNgwBiwMWx2VntbhM9S6hUbxGyQe8UtBrSX2TInczm+97Xg02aN
HLWAUpon0B8QqDCgj04csWNAK5kb2g2J7DVTM82HtvXBlS4kda8z0Jj31YIFqnyyMauYgMM2g3lu
fO+a/LEgSRK/8v1Mz6TKmpruPeBZBCE65SJ0GI3vRVDdk8b5QKUC1CqWdwJ3I7Je5nHmUoEjtpmw
Ddk7nY/UmjU3EVi27Fq8+RXmrhlpqqsFaN+COpT5zIcTr9wilcO8A3uNoLm8GeomM0oCB1SvmKMC
SyCuU1O7yOOLUxPgkfX65gKg/tg6zn5tEdIreVnm67wgTmkg1llMR6ktVL9Zk3tMfkCvoD6aldt0
huHQB8OrnXLA/nvQPhgB4OyWIHyfa/fT6sOyD1vEvpf2U8sejJXIoOnDgMF5rYPBd+iv6ca9RgwZ
5tlh3ov12M6gm5tIibzfOpitF9Zq4xLoIdywTz0jGMMgbFY4E3A2O2w16W8XYd8gSyINt7Bnpdzo
NDiYNPKI+Tgpj9hU7DCpEX3YXyyjP7Oc16oO2wULXKxDQErJ77UhKSUGzi3BcrFLGiZsWxzmB3Ha
1ypx3vuXIW/2KMiT4giOSmf11vuL+uWPBQUOD8TV8xFJvb51/OdFfCq0b5xArxcTwi/Zxy7k3vmT
I7q/Xbjge7q/DAgFV+n+rk6KFfasCoH/C6luMGwraduPmO/h6v7FcX7e/X45nTif2AMJZreh7fv5
+4wjgw1ESvcS+McpuB0woLL8q0Kc/atr9uOX+d1BdOm6kjbXk7aRz0gQ5Gbnfo0wyDARJ4jCPLmf
cpg9G7p7OkdZm5zNqdo8y7zI7+qDTXZTNt2oDP9jJjb4N3/+i3vqj+UvRQAJ5LIHKTQGkvzzSWgx
tIj0i0suCBufizs3d0/khR8w58dJdbYkhzeyndPzuLE730+7IwjBO6QwNzZp/yNa/yMOj3vi3xeS
/9MOVf/xL6pI/NSvVSSGKePthB7eRgaE+wq1/FBFfo+Q+fgHcG6M5/O3KhJBsRgjXjwXcjZsZBja
/4Rdov/20IaiakA59kvt+Tcka/KHwV0IqVGUpN5VS2YYQHct/37obPgEkrP2ovbWIeMbrxQmi+j2
M1n8fUu6PqmDNZUIEYU+wEATblaP38TLeLZRd63funHfVZCCNQcQF2q64b67cYX3YCtD8yhEBN3w
5cZVBfScq9JE1HMVIX3akvam9KEnGWfatY187wJon5qwr5g+C0HJ6TgGqM7HOTJfG02QtWhAjqBb
yoPF+AlZ+jV3IUJkU+fPGYZYqDTUsU7Z4gapEv2y6cVyoQs2VCCooEJ9WEtcvXoYSZZhushX4QYH
rJhDBiV5wH4hG4SyvcQvMcGtD+MLqscXU6wIbUfYn8sSQ0fbUOGPQV2lKx9o0nW8SMJi73G1WUIB
kg3zPSDBzs9ryU8q7I8DMPUS3wlBoAoLBaX3tsIGy3mXNz09FYQ+FpgoCnBGd4hbYRSqkgYjzxon
Shjzdp2HarCIhpcIYHkauAvXcO7MWPEHRevhE4bqPC8rs0cVSayBGKTbEovJWeP0aeaYnNI3226w
QcK0D1nEAiLSXkGTsohOJafP3ojEiq6g2wcsyBusdBn1V56vMSxYPsVQhYS+95zyq98WYosBPinB
WJ6jCN7V/I7ZRRs2BO9y8cRWT0jQa4T1psF24jkmZf/Quu3QfFR8/Qrz9X71EAz7X/bOZDlyI+2y
r9IvABlGB7CNeWKQwZncwEgmiXlyzHj6Pk79qcpSS7+Zei0rM22yyGQyAPdvuPdct6tK9poy8rw3
TNDngN5qryMY3DHzKK9NGfjXdh40h8kPlraPFGhwxa6ViF9RpcbLyPans5XMzMziEt086LOnoRhW
bsxQ0BrLT3Ao5g59oV9DgPCi/+nL/22YdaZMf3/Ogbbrmre/OOf4qp/nHLAQ16eygWsKUtG2uIz+
WM2Zv2FB1RmcYUT9luf97JYtn6UduFZCOplyUC7wVT9FORyBnEqoASHk/K7y+QfnHCxxzrH/jFQc
lmYuale1GeRH8Dj1/vucG4cgRLYd2NfpXLnTnrF7br1Dqm6Da5BEVp4D/9BMKmHl2+6iu8kOUfui
A1sVZqdjoUD8wuAsXXd+a68Yfus7fVDy5BFJdNeXb8Y0h0sM+G9z3Yyr3AIhKhvB/jyECBUkN0kN
hycMGFHldEy9BwvIm2YYAj6UEY64AFxe2isDTr+OZJutIsHgvmAuarjxU2+IS2wVW5HlclmOq6Kf
WZlxWvd6DjE6KS/U2I+lKPcNk/lFnNGimXh0lj50IugC85ufyIsQtc4m1hT438wbU2+zq86eyw0A
sGJlBrQLcVN/WUH41iWcqLnmrtvpcxhNZwV/cN1rVrjK8uJqNO2nqgjxEnlDtbMbiIvSGqplWhkU
GSXH1+z5cmn049Ga42Rtyvmz84JNV/ZHwx+2hotGsCq3jdWsJbsGaA9o8DkulrK3Plus7oggMIDo
C8gtpwIr/OwMLrdMwJjAZTuPXd5Tvvksq3Y5RvqxTO4zjPVtW1wAox8jDPcQh+BWOfml5yPtlCdf
H2NZbFvN8DaeqA6Gk78XaJ+XEGNPyJtOUOSKpQ3vQhy4yuUFvX0VvCYyC811Y5VhcdHmdqq2OWUX
7txUf0aWiJCCHvLDdCzgEYC7Y7P78JtoA41e6dP547gbPiGBNMukwWOS9+OunaKzXQTeWkPYv6nb
6GvQMP4n3vRCC3HfzuPF6I1XWKNgweeXGFHHUjiNtXZD+0dsjodBD6fXLKoxLrUVdE+rwIwIWdLR
sWA68gJia+dKTzt1bn0/xfyzWIbipw6962BsEKlGM5ZGms2oBbCQCn/diknfze6XkZQ2wDg05S20
sLyyzVUGvS4NfWvraDEwSrCeleFw8fboTsroI0zreZl107zxBuUDmcKtqTUv8VDuSl6bJUrvEdkN
PmC3mXG6ct0aTJLGwQ6WntRupkB7llhmRGUZcBiSByeIQth/povTGZ8pMFFYV7vMTV0cxOWhQDDG
7hnee+050OLTryZqr6vcfusbACAZHtd0Ss64546V4ueL0j+yunEXpsVuMMEgKtUYJ2n7YVuPILLa
yDIWpk8aWuq9zOyKkObt9SZ8sVKrups1wdwi8gCIms6Dq0V3I7Z13R+e68iO91Xk7+exPjIkqo5B
2TwLWCOAd+80IdhaetcanXqki8/Kns95LndpybM5i2leVQbKFCikt30PqwNwG+r0rUwif52O+Jd4
e8Rr0zf7yEy628DrEdcU2QYezlG0Tfp7h/rv1aYq7v/lanvL3vpP+db8xe3GF/5xu1GqqzAUFOaW
zn8Ygv5xu+m/kS0O0OE7DeNPklNWRQhOBcW9Uqz+UsW7v3GCMFalJ1A0cubO/+B2A0n+59vN45r0
of+gkUfi+uchbRGS05D1Hn40PQt3XDPbKOQU5lBmbd9Py6Ezm9PYmeXW0lk9+mN3UyQ2NKQif5e2
Wa4ardlhqHbWvkV4RDgIi81WVC/hMM3Y3AdzFbHnQ7ggsFAOY35Th/5T5CAS66VlLUd9PoKPPEnH
3nklBkBHi7b1VD0FXlgu59q7wuVD/Vem/a7L2kOYJ8xKbecwezEeMtu9Eqb9EDpowdvYu/ikdqwK
GV9aXb6xJuF0c0JcLk6FiCsK4ZeiPkj7+UoU7tMYgLk0WLj6WfkkRvIqUkSBbnavOflVywW1hGj4
UEgUe5oBmTYYju5s3xZFsjFC7cWMx2VYh5tWhz/QyOpUueUz8RVnK8oRzjrjllExXidhv7WZ1yyK
MeM8cNt1LGbcrGOWrSw5CsyR9bT2vKJb9z0eniBBQ8jNCSmXVIwIwRyIgvOQ4WkP58HYstncJKKG
vNCTb5AaxVIz5xsrEB9mW92n3bQZPJg6VljcjLbYTFG+j6FcLgK3uRGd+xDVQYh0ZHoWyqcZDw5O
JcNOl1kRlxsrnhrqFnfbyvkix8LdkAJxGI3sM1JDamxSDyKSKCQzE5th6V8nvWues8DdjV54V5/t
aC/AXehIAMTEypeoqE3s9jQRNQTDdkbrabX9VnbecyQwmHY1goesjLe0jMUizcuP1BXlKmkp3M3a
2GQefEI1xmynXYwiiN4peZfS+kTk9Al8LdyFtX1mYr0f+xqlkd7na9x69qPlpGBsJ4+FfhAvy6JG
NyD2mWMATI020gthJcDSXU8jq3czFNPW+24xCqdr10OvXeJq+OHP6aDcVTgndMATc203GCnqg63V
5pJJ0s4XCnhgBigLPddb2ba3MxXPgiHtG5TX+1hHDtEwKVcuDR5dniP/CSukhToQMgZ3e72O/RDT
ldvhAoFkCLUJlgYVDWolJ7v1kWkLMyDBBfAG3ikkqo2xyBWTIwvZkLhuhrAEBcTGUuwOwZu+0RTP
QwcXeZzM4hKA+rBCmB8t8A9PUUBG2L37impvEbGYXGozCAcb6ESoz3hteVMSRRRBlHETgBiJckan
laKOCPAjGQEzLTiSprzEto2QGVKJ5+XBfhTleVRZLj00E98sf9hNBk4Dzklu59XaTZt0pY1auqoU
DmVwUFrYtROuolnbQqtI5lcccD96eUqSfQNTJS7rieqXx6DPg7dJgVfMqb4KFIqlgMlCqsquMCIN
60z0qIXpZ9rxypgYv9YVRJfGZ76gEC8+qxolor2HAf7lKw5MOPLcWQoNUxbh2kZnwUoE7kQf1sVJ
M0fnygAqo8V5fR57mLqeIs64/hysRkWh6YKgXIYSzVg09Fe9TD2IKQy8Mz++iyRPs2OHzOwz3O52
wCcOaRde/TRfyqAS+HioGJq8n5cVeByrlh0wN16saK4RFvVQdDCTBJt+apNVWbf2TlkqFXMnBUxN
E15fcts6ZmB59EC/DxT1wTD7Q6A4EGhURryKpZTJdTUa8jn9VsiLb7V8g26++11B/62mj5WwvlYS
e+9bbf99Ff5bE+jMk/+XmgCk3Hem3l8SJNTX/lEWGOSDEDDP3Y9cA8nnL2WB+RtGNda8/8Fg/s+K
mOGeAbISFCaTN935r6bX/c01cHD4GFT+P5peBe/8U9PrI3ilHCAWg/+psuXX4Z6fu7PPpq2/zvoY
MvxS1qV+yEbDPhTAKJGoivxhSkJO11E7eQXvWOLk9KCYyKNCo+ttE5ZL7TH1xrteH09TADCpioS/
ABoL/Teegaq3j0M+nd3c2jux4JUMykWt5lHjSEmP0nBkSBjPnCk5qyjacCT3Ls5zyoYvizie5fBt
qIrTaQlh1lzLVKtpH/GbJ4lHN4bGhnbqZRKwVJrMntZQ4vKVLqt7W0DDsTsN0RWjKauadTypLfqf
ul/KInhCRLRqTQHdqWnQbQ7voksXSVDnK/b+HxBcYtRd8bOoWVQIV+wttIpdDcQQTPmzCO2t52Kj
CAZrE9GnwLbId6bonVWP27QZMQFOdi+he4/vUxm85+1IihlrVG72l1j342Vup1tEMHvQiWxxx4F9
QA92DpfIj1C3gfIZxXNVooSnS7FWQdd+isCcz006vcWVExwZJpCTgBmBJZtY45g1bk3InSsbyv4y
VjzmkoZyOwzp0XDqniOAWgz6nWw3aps1227M4eWWSOMt9GdA99dexEkU+niYO7NoribdG1cpjdzG
A+i0CjJtWrZAXRd4iiKgmSQBTHocrAu9iY/cgtnW84f2znT6+RGYV7QqdejZaZPpV6COmA4PafpS
SrA7oAbFM3dmfttIo76JhBnvPUOOp9oPOMkn3NXQrSUUSNtOTsFQVAruPp46OWfmgvis4H30Ys2D
RqzV+8LULykpYusoGqoHfeIXvw08U7xquEe+bEgmLOoxDQ7t1K1hCSynHHpYo6yFvTIZNhJsOq7D
lq5rxIVY40ZscCXqyp6o1d1ZKsNioKyLrt7D81F2RlcZG20cjrayOtYkeiXf5kdckKQChItUGSML
ZZEUyiw526mBUBHRp6uslOW3q5IkNfd3myWGy1JZL4GD9o8+2QJ7wdRtESmLpuZh1mxwbY7Kvgl6
fjUqQ+e/h/m3qVAtM//+ML//jN7yv5hdqq/65RhnbEkfIVSXhtznl2NcgYDY3bBiZIGD0OaPHQ3e
AQyIbGcw+v3uRvjP7NJnFspWUv+OV/oehv6D7o7D58/HOGxjx1B/F2GJ4ruP/PUYLzKcDRk/xnXv
R2mzgm9Mq6TvEoUh7eCRGi2tnKPIAQH00FFBS0uFLzXgmLZMd5YVSJ9NmEz3nlbW2y7J8b0b8HJL
QZ0NETX8ZqPO35xUIRCYryzoqQ0usFsKlmErpAhOkT2JfTKizK1Na1m5vbxyTOyETmhCFHON9zZo
vnSOsV01FGf5TXAVJYMKUBC3E3RX8APiUivga5iCftWzAtCvJwCHKjBs2KFkn3zmnTk/lTemmyTs
tJ2hgLKJQst6MGaNwhy7VdMHMZiBpN+JBolJqLC0rUU8QKpQtYGZlMgPwNe2CmTrGpmxqPjr5zgr
FpIpMX8L65jZ8lWDrAAJ1nCVucF1UkaHsTDZN1DKtYVJv2fVRxEGLHxblk59kNyWTqOclcde0wEU
CytBSF9P21n5hmQnwZXAWZCRCNa6pz1Uc3PnS4kHS/f2Tj3fyCFF7iL8J6t2P0pZnmtKCIzV0YGy
4MZpg/uwpwoduCv61P+SFeuRzr9i4tWsTBKolkaBV6LKyudkyA6iiF/GpG2Wk699jaGHjL71N1jL
X53C/6wKl9QL4gOWSdF6aC/4tQAWxkiGZuMUxwxUEfXGr1TbN96UPKY6PgW2N8iOCgKvNI76dY4+
BwZb8yR6SkwB8IdhwToN445tWhwxVawfS8tPN7mOJmn0RLhq9PG+VPDebwpM3LP2KWbGu4IoRRwD
3U2lsDEIZZK1hCRjV+1zD1kGA4W9CSzjR6WgM5HCzxTsqgIFpAmxhG6EgtQwWyd4g8d12+k6sqRv
mk2swDaVbe01hboJPbiCllfyIsDBmShlbLg4lgLkoN1210ZCD9OJ5os7BwmzPiFj9/RqSQRDtoln
dyGigDxE2FVATnhHANuTsKLwPAFrSEsBewbIPWEPwoep4LUF08eE7RPB+BGpt9dg/nTmnvIgGK58
vmdjt3eVwgMJOEFpLp5cP4ckDXtisJJpFcAUSg00QooxVLTProIOoQGWIPgqf924DNJLv/Vxyheb
Mq2uTLPbNlr+0EAxSuvw1OZVvjPgG8UmG094R3Y3pAtXIZDkOF7nmYkdUs9eInBJjoBLIPTB3Se1
ezL9/Mz8eJspxhLMR3NZpunMqAMCUxjBYgLIFO878EwmmCYDXFOmuE0evsEFIMAH23WeOtlcm4rx
RLaGvxoV98mJKG6kYkGRPIU8sGu3IaZS9hvzuNRARw0ieJoVS6quUIbM4KVmxZkC1DGiU8tWyJD2
wSw/a8WlMmfVgSJo0xWzKsJSvfD5tS57gFa01Jd2UMxvxbqCRGyv0l6KXQoIC/Hk0QaMFSvPzKhY
WRnQLB141gxEKwBhtZSKq1W3MEJTUFsOyC2DsQ1Io+JiKhqXAZZL+N0Wr+oE3ApBNuzuiwThFYDy
6qPmSv9me1XegWS4mro2v2SowEY31g4RQLBYkcH0lkIYVFgfZtCx2KUsE/TXS1EMKf4VDBazjqNB
0cacgM2OJrMvFOz3dcU6ejIwLTE0wHMRJT9k5VyHJfwyXZHMbMU0KxTdbAi1edcCPHMVkmWu58uk
WGhaD9Qm9cO7EX9Xp3Bp7KN9P+/Z28oDy7qIW4BpWq0oa9YgYBQLQkRJJ33OQbEh9XxjlRVvR0Vp
84b+LLr8gdrvxIycLzWpLnt7A5QT6rF3jCu5S5oA1D0PEahX9mUOWLjJNT5mMHFOyJk9YsIWtNS1
IT+hfhHqUr/NAKhcRZprJtb3oOdKXEhBiuuJnR0KeH3nAqnTWbLbareLTI6Tu8LfAgPIUWQ70j/u
iaq9mm3nM205KGNLKNKiu+PlhrYIIA/jqlyMjX8tfQg2JhC9jOd24WX4T/Bg4T9gpM+LdpFOz8LA
ncsty/Y37k65LuOIKhUCB0JJS1x7nubheXHMrWzkc5wad7gbsmU5+w+G274kKcwu9tvjomH7hmSg
gjk7GuDvvHcr8Gh7fAmWtXyXSV0ybip/NAHefJ8F2KqILNzYKnMlgAvAnXc12PwZISXH1of73bJw
sbCjr/28+4ElCGOXW/+wouIae1OzDMBkLts+uDIqQV8UTtHGL3GY45iyGUd2mXrLavQEzjlydd4y
xC0gr0tK1XA3QdZYu5yT2KLYQRZ3UzlH21hLXlO3+mD5Brsqz7dBkG6pI/gMgv7OcCpjWfe1e5g1
d1+1gHk5xBlBUhpBop0nCGZGc+3P9iqc8q9UT0sM68P16JLz2mjhSbfAlftt9eVpzHAwPb4MJQZ1
rc5RNBXiLY0wHVWh9qzXXXCRXnHFaU4+0JXdR9soth2NvRMQI71N/fpcZlkZiYWM9RCZBm4YFCKG
X0enf+vo7zpaifX+vo5eZ/9nVUq42H+xKOELf5bSyJ1UNQweAg7HnyYikDORq6FbMgGQfVfZPyci
PkU28ZA+Q34dybxab/xHBoB20qb6gXTMjP2fLUrsb9fJf8kAPL4PKkydk0SRhNQi5Re5Ux0Go6MZ
PVxsu3wcFBi3h5CrIbVauEkjb4gPBJ+LMPjZoTIBO5lRCrpYZLycy6vR+uIwh2R9kJYqkfXaT0xE
3ZVkc7usDJP33CYeI1dBXwjAcYTaXUm0t98v6wbgbwL5l4A0piSjFzEdcR98nHsoaIuNUOw/F3Iw
SopwJ2EJt/H4FAwsH/ukupNlBJFZi/2doYcfBSTi0dKPZD+cYSPQsCpYsS4TYzM5uMwqSMbZEG8n
hTbmaDoyTH8JWvPQiqohgK2707mNNtg2KRkHvHtidN4Fk5dd22KMk4S9cXaMn6IUn4BJkxWREJTd
UJf90XouzLI4VB2kEiJz38w+ukQK1cyP+eEXlDYO6QFWr1gFoiwfRxbCa2SWFDmIiBwUQxD+N2EJ
CT9g8Ds7+afIjPWo1EVlVm1t9EauHCgS0nDHGIWA6d6h6Bvw7iWxJtadNl7DKoRJiYYpRsvUK1ET
2rYS7JvHoaokTwnapwy0hyXa11yJomolj+qYS81KMOXp06MHQcO7GRtmAVU7zrQhyH/9U6RVX3MX
OdB7+4Tg7Y48Pi50jIzZuM1j1lV1nPj7qp6ii5WaD7D8wSgTGrgzQZTOcERfZt1dVFgF/e6+E1l4
RpVQHWYcfYRFaekO29p6SPRbgzE9gmqPtQP7mkWqx49qj0MsRectLI3ZsRW6rM1FNa6ckixMTStv
wgRmmmi4xYR+T7AkzUICfLzDBJKJg90V/IqZj1FVPlVO/MO18lOgJfCTYTAS7tLm4Eu6NztvmNbb
1otmZq9YCVDUhe528u2S8V6yM3W2QG4JlLCbN5ppUanN3mYqoE0mLgD09CQCl0BSooGhiNzlc/Gl
ZyUlTueJhXAmEh5SMvN6LfkwhPbswH+dovE2A8gx9do9y8HXFmkwhgh/UXfasR7lWbeCh7FIjtNA
d1oH5mOYo2qIZHAfjO4RbgYmRDO0N1aFRj/1/HNh2i+BOzzgPpsXWZglkAmxDxB8+N7Y/u0gk3NY
yY0ZABjx3P56MOxba+LfkgfxRTbGHkbZkq76EAJt78RwrDTnPZzaR2XNCAuH9BrnOornnSXzRaXH
LCyb6dnpPG+bhFq+SGN0KhxzqAdrjSGlitgIxp6hYiyfZZMfLL+/Si1zH+nzY1cQB9OTlrasrWFf
SUdFtJYE42jZLekx72R++js3zehLhbdV6WBr8iC8ddCWMEAi0opwC+9mmz1iUuUJkXsAbxuw3iZ1
qjpxOaVgwKR2f1N2uC1MiGKbrp8uoT6ht0AWovMr4Ey6WJO4Sjr/wxFodSpXPJjCvrJsSKFWx+Cg
nyrGeuqIk7Q8fajfmX6xyVywG2bV5IuGqCLfcLJdzvrLyFrWmXkrloLnrZvDO0O3390cZU5oelf4
sAPIsJq2wat0a4AUIqYnNQjLc99NkhjXBqMNqL7VerLITMxj01YamA1owy/ZzsFdUs802NK4L+K+
QB3qxh9VpJ0FqW/QRzkj4vhpiHrKumiXO97XjNx/3bLhJapGJzqopkCJG0dDQ9XM+VNOJlN4NZsh
dbjoIeYYztHx5L2vON1SEbvJy30FuOKzWe0tAG7zcwAoZuH2zbtotXo5d/LGjrNzBArcAgk+ggY3
FCPcKuQhm016UzvDd+1cQIJf4WBnsqwI4wmocQ/kuA6+gTkBFHJnYB/Ndu/eAlAOr+hA7uJjosjl
Kepffpr52YcM2tTTY+4Ml2pIbnge+CWAP8/BoM8Ok9w2pEHt9QK+IXvl0W/vCuDpBphk8luPtj4+
FCbjdtu5EcDWK98umD7zVisOu5sJLCiKzQ7XySRUBl57oZstbnAQsnG1A9e5k4rt7gJ5DxOBMFVx
32H4skT8ZsFXyX5WdHgtJWvxmxevyPEEY5l74mzilZ/BlS8VYT7VJfI5RZ0PRyxRikP/b1X2e1VG
hfL3VdlGMhP4q5KMr/qjJEMxLoCb4D1ETanbVGu/alfQIlF1/cSf/KHMdH+jAUR8aXxbFb+rtZ8l
mQOJEdGK67gEa2PC+Ecxbu7/q8xU2y4fQotrOAhpvnFqv5RkaU7I1dgG7hll2iFs6764agdzEssk
76uKfNS4m7fMHBrSbvNwfCx9BREs/UL1RUn0MlrNHQGv0ypqChrPttsy3l/hOcKFpRcmM/kMhLKf
vIN4gFBeOPF60gAwFGQvgodnLpNpL+WQ3xLb9jR0pZFeWnLT7ojU2vnDiBocEjnAaTbrsXZmxOgN
kIhrIsK08GWi7bkJgigWN1HGfMcpPIxlNupFayFQupQrJ8j14l6QMrwJOKeGdTMaQXtda00UP3Zc
xCQ4p8NTavoRIXVpuYNwlExcwfKKONrD0Dm3TmgzJ3KLR33O7jubeUkZVR+mks6IqGPzBHZStgnn
mfUeqVhOqdk06yZqmPGxA3iwtCgItV5baTlHQKgUI3ZVGStvGthjF669Zk6opikenriUHb5zl3oD
bWWF8FOLf5i+e5939qduJ/G6yfmlOF57cS1a0BDFxm7g+8O+rdLXySJHNB3inT7jR6uVrTDPvPs6
M8wNGOuChQn8jzExdxFi+qLv5SofYsAmWPqdnEkNgawzARwpgCvGJBwc08GqzEsA8ms5WxEbF9vc
lSmmOtNLh6U/jeZ+6g0MkZ3+Q2cE5XVNTpyyE6DGaLZ54b+FUXkUvnsEYqYC7kngAnp7RxMKY4MU
1DHQfjj+vMn0cY9i/xxKAewrkKtKglLPC7U/CqqvttQggseM1jot/xgif2SNVTzzSIP99Xt3J1Tp
z+N1sQ34G61Xnlsn0agbgxvyoWHxEbfBVO02qDT0B9yoC32UDIOcvlnyvEGCK587QA0LaNWHlk+w
bboNbTkDGAcRltDrcj0X9j7vp+uxdp6Mpj37bXyftNAAY715zMPoVsXFovPotkYotD2HNhTeSN5O
bnBPiNhlrqFmDAa7PmCc4cKP42llyOCmC+bdlAUaO1DtQ9ZatNLtKt1ODpfUbPgZAjIGmqHTsBPV
7RXpuPOhrNzrhIDjTelBfKm6wlrmfdYuans4IWj6ATj0EHceFo0mvhJJxapUd4+gNo2t7sM4nxBG
G7wAK9tI3qReDZvJb699aT/3WqQvedX7RTLleO076wvM97xIq/K2myvogS6CYMhsrquCxAvmgm3a
P5jDXOw0m6czUCVdk8Wf2WTOXI7uszM4dyZ+zX1fApnIpLmnTbRWluedop4QQmFjiNVz294MdXId
hwK/SnqbZ/0ZNKOGwdUl/Chhl5H7N2ZY1BuR0U8M1YALV45qOijuB4PFsy71r8C0X3Ur+wCJqeDP
3PNhSz+hmZ92oz02iesv8zx/zIfWXJs+jFcw++Dn8pdyso+OVk5OrwSzQF5dexQXS6HTUWaD65ii
+t0aoPSYDg4HlS3UOfWV0MZ2Pad0V/38Li3zpfZ8a+fr6G4r372Zu75YeW2EskkSIojEkVlsNH0Q
T9IAemzvoqIFTFTp2W7SyTXo3DThrLVeK2HftTnpzQOZrRujC4aV7NC8J1VVkFajn3vEVmscrJ/9
PPmrwqGyTMx+1TNX3aVpAT1Fsxlugc9e5Dod22APH9iI86XRYG/Rg8E5x6MTE2Bej9i7QQRaZn07
FBQwk4fEziA5OI2Lkc8pZh4JYyR2GJlPSVSB1Rn2Ux685gWw8hwA3tp0mX6OFk9rJZMP4RZ0YUEy
r50i2IS2Ne1EIet9WdmbFD3eKnJFtvE8Gj/Ow3lbJPWrBBhTwLQJh2BbUrJfIo1sdqeMfUJgBh1q
dO5vRq1A8k241gUGHTPX2tgT/H1CToCIME+8LX0yoVEsFZYBzMBD1HU/GEiz1ADtdDABaC4d5FOI
fMNiFxXF/DAPOZ/NMGkbB7nkQqO4X4Tkay+ctt8TGI3T2PDQWDtkFmf+IfDnIyjuHFA2/U2QzheC
fhnYu/BaXHGaGzq9qEOcSP1/U3XRfWFisgYRk20qqJ6LLtLkMrHaD1Ej9iAfw9uOHmb9yUCNQUbQ
SGpCdNPG5k0RzPoqLeN+W1XzEa/EiZSpFXrvmx6FwNoicALbAO127Mqz7yQfHnrSrAkYSLg+barQ
HCK6HCJ9vGnNzhyLLQwh4PfDo9Glb2Wq3WQyvkuJlFoCPhPrRBpM8OzqM0OKHua6vWktGyNFDP2/
I6WS0Av9pYrpvvouPgd+h9bR0PvVUEsSDIL0WHgYM5IxCR/rKFshj3oRNFMLk1fXzfIvmbcvjsWk
PWrP1bfzu80/Asf010S4s1jIs0egInANYnzdJkD7Wa/0FUwahqpOQJJUesxQkyxt7lQWrhxghvE5
es3O7YKTx05hq8fTAQeBv6pTbZE4xVM+yTNbRdYuU54TYWUv+UAPdWMcnSz/oVXe1zDSPgomKEWt
7YIm+QR0sGm6st02RM43FX/KXPRRT/TTHB7zhF6lY97apG9+l7yTU62AkDr5h+6eYFb11HjhshHy
MDcDnVvKx5PTqSeMfsaZ5zkGvrPBWvpp4dRbgHy4i5OQ/zMHOCD5UyxZmNqYqBDVevGWyu2VCmwf
j0CsqXTw54vD7JT5sqvia1F7i8AfngyLbw6XFoFPckyZWm2tvIVrS1yYG+A+QIbHehEpYvFoWFx4
fhFunchAQ+NZZ1z0D3JgBVA1mLw0ht9V7J9gWUOMQCLbadgq3MSBI2fnW9Id6UtJkxHGkC/oLrwF
MpNwQyQts58ZmAEK5ru8r/mneQVeGupOJv0xAhpLVQ9y71rRYZiSr8hw4k04eNeTkWzLedv48HG9
rYQGa4wnT0vvo4yUBhQq+VL3nG2S9GyoXQoZa363vGEjhvDdE2SvmCR4aIFOUk5VvxE3phLpB+b4
ld7LI6/PfTgxVqN/ezQqllECEVDDrnhnhYBgycHtiT4IPKu6FELmhH4VsEjXzLcN7Snqy1JfkvLW
yAN8g0Flvgy912/KrNemy8SnU+hOrK3sAKd8SDBHvPL89FCSuLYYU9hY9Jzb2Q9p6Etto7kJjqZU
GzaxXa7sPO1WQV8+kzQ5rwuvr+n/Q4Nw9+TBksXdQCrKBuf6V53IJzsGQJ5TeGlB3G4IFtpHrv0G
gPyG6AqMGC72nShu8yV1F0vy1EYKNfQGqTrlyHUCCyzVudgarjQ+P/XZUZt3Pk4aPzrVEptkVtmr
sXXPfRtf+517UrK2BRE8b4Y/Mfe3T+wUqG7K6p27BXgtWzRiN8Ctxfah7fRPlhLFdk50xNg9OSF9
d4NcHZp6hGWFVmJBXTOsRFD8kATBWODCl4QAz5u6ESe7zm7NtF8XLcpyJy+HHefuyR9AQkzwrPCc
NLuu541OTP5Ch5VRamfNomFtA1tXLMgg3lYm1a5vpK9pHS/t6DqtkJs502IYkcZJvJa+158JriEW
qGqvcyf5QY4z9nADff4Un8tQPzuYKrOiP9vmtWBUp831SkotPPR6+ZQO4b6N4pfWbR8qv8QuNOtr
QuBH4d5BgFhS956n2nyNK8jojcbJmId7aF/znt3PKz/gQ6Rae5dacB21FYKuXHu187J/ymciM8o6
OY4scVFXJCUCqhm6ERthyFvPVa/DaEgvw1C8pZWH5r9peRL8l8wpiYKPnvKBGei/Df3vDT02779v
6LfZZ1H8xYqFL/rZz5vGb56DlvP3rIPvzvyPft7EN06kAj5Hx1FypT/USjgtKWjxSv3csfBHP/t5
Hy6RSW4C/4GmoBws/0CtZAi+03+LTm2H2gYpFYIl2/42xPy6YimmxkWk4/nIAiR5vo4xV4g9/y97
Z7Jct7Fm61e5UXM4kGgSwI2oye43d8dGbCcIUqLQ9z2e/n5J27Is67iua+wzc5ygSG4CmX+z1reU
e87U8tBY22HW+C/MLOsbxKJ47TJlu5vx38nYO9a5l3BdJG8Jg8aJYqE32mAzWRaTpdJMR+U0nPf5
aFbrrvduaFO/kgAcgSIEi90ZrGYNMDLoF+xqqxPb6xLfO5baTovSN7smL9qJi2MQDzeJSvyVbb2i
39s5Oqtl2l1Iv6SreIXGPGzaIiE4G1RAkYEIdQhJFO70aTcJVJ+5Jt7ijJAiMhz3tes8lcQRz/Xw
mfPwhPcxtVXwtXz2kPi3KsWYof97PbmrROUbx2hYOQ3JPJ4ZjoI/yZdGL3YVsci9ykceVFJyYmo1
ZlHSk3VUSusOQe6qKeZHJgYnMt4UrJHk5VplMBuMBEKLhHOzCza1ymkm2chZx0Q3u0Q4s6MCC2s5
1JHEO2fEPKOtpeovLuzOYTFlvr3JVCZ0ruf7QaVEf3DkBSSZlT4o6p5Kky6VSpXeN1tKoqZJU7rJ
7GTf4J1Z4FD7MmW9izCBPXVd+CxXoK+YwfSKe3ZA4CS+ktd2JZCnodE8xirtmswdbAEfCdhDNxwL
lYo9qXzskaDsmcDsTMuHJ/6eh9Z+mTN5sgAD4AEAihZf6dK/G1TyNoqquFkBXGHRS3paxzUWJSyA
y1+3weJjNTwGKjOscS1OfFbHkeuC38GY650MDH1XTlIQxcXZh9YlLvW1pZNuikveu/PJh/CWKeo1
ViAF44Denqwt43srXaXdGGzFpMCjTl4bRydNu0e3kC5ITqyh/x6HH8ehSj38z8fhNeSDn3nz1Fd9
Ow/x5nngMixHIE0mVua7+ab4xUIBD8TNwG6nqySX31bOSr3J/4Uj3FEK/g9e9B/noe05BoObj+Gm
yqf5B+eh6fCj/XAeIsQxGNp7Lq2U+YGZ+W6+aaH+zk1/Ehc7HQiNifqeNGG3Sk4xLFZrbm4w4z76
uLTZ2aTbgZJZi8JmkSEksYtg6/non6JkvK/bkmyvAhc3dlEP2U8Hx11mIzObZjV3O4ZNz0UAzjhA
rx5cBNLoUxE1Ls5hmnNH0NcljQR8Ps1fUssjvbEj+NDy3WfHAgLtsnHcWEP7TDbADkpusDLt/joa
WnNd5RpmdfbNc8+oAxvtydJZ9HVO+pBrOJ5QC71HJYq62fjiauDuiw7MbW2Md5k7sqwbrWea20fy
2OQCow5RcOSn9TMrPDlNB1LSb6WYqFZzQIqjH68cmzHFiJrU9tm+9nPzue4FDhkKRnLao4Xv40rO
whqfQGF+1pMne7oOG6nmhujih3rHRaKC2jncmUxOFv4AqPwL9DVmuyrNadhTjbXeq4gsv0eeWmf0
4T2F4pgnOxq4ijxrmq4W8fda92k+UBSM68Zw0w3ac1BNRo95TkY17K9gaG+obbkJ5rS+6UGTbruS
OrqEZbUwlDy1qXFrhVUcEIKdgA2pCLCaa8TqXQLtuLZc2kqa6VbtnEevyAgj8+2tdIbphmeTjVgX
66t46Jch9v4rL2Vg4SdWdPJtPV4NXtdchUHvbMeatVZuQXJYVeRaIlkyMSIn3VfDIxCCQWy3rCD/
71jIvvUtfz7D9bD0owgFVobmNKJk3LEoePe0wsbRN5CIXfKo1irlQAfDjFMhvXbNgLUdXqQFyZfR
2kOPurVSk/1839hbN6zeiRP1tvaESbKqNcJO5gIkkZviIkXl/+oSM4gFLNJ3vq5SOnUa15wstoXJ
SV2vhINgMKu1/K2ccmrShs1UYzfEBLlafRgIeTsEQ1dvyaVg6a675rZsZUowJyQyv7G/RqDeF9YU
kqZpmVsmZhpT1jkzt7FX0jZTsLyhAITn4qs4EaUqDrJaokO0egLwBkGBz61NvGOXvvHOBVd1bOi7
YU7ydh3GLgX3aLrjxuvtOv6agq/duUIYN4UKOIQc2xxaJib1wSwZyKODJf4YYIKSxhIXndCyVQ+T
BhZAn3045cBq1004ciU1z+SzPaZKbMutQ0oSYhPIokhxYx1RroM6V6DSjZVcd/LQqBpKwjuximaO
z15u7m4ipfG1Zapckuh+QXy/072+dLpPogvK4BGJ8KC0wjaiYVOLr1IrfRrl4GxNpSsGK6EOEe/E
R7HvkB4XvKdax3PRZu4nut/rCpEyvn81oS/ODIE/G8iY+1QbGSCP1+1cu3sXqXOB5LlBDEf6Eqq9
NoPdiyy6jydMqn6EzpDdH4Lk0UJRk6NcbJa1G94Gek24lVJaE3NaHWyyGccYizD5Sjt2ilcJ8mwX
mbZG3adSbF3eFDTcOQ/bYlK6biv3ojeSzPMXmbTxLjD7aOFYHRy6yrOuJGkC7JnJcLRgPngNTVmm
Q1iXZnVdDNqdRJyzjVn4XAV5x6tMuNw6mQaXH4ksiElr5aYcOZP8YghuMqici4bX5aZTL8+sQ7uv
1TdtS8IXYz/ytnpTRrdpUJcrF8UoqZc1kt0Yz4hmY9gpLTGt5xhBQNyRPaj7zrQduyle+ygBVgTq
WGtvjhnU1vbXZgrmVWLNe6yEFz2vDpkZH+1uzNbmoBuoNs10bUKp2CRWE21Cx4bDQ+reivlNgVtp
tBnWggMJU4xMUWRsDXPkqGfXuwsz3lpjAJic5ihoZahG8iWnlF75YgtVJ7ixayiNYa/ATOh6t8hI
wCbAH2CL32LCzlIWwc7Q/dv5/ZaAQfnxn0udfVa+19Fr+tfmT/B1vxc7gpgLRRBEYvHR4NF8/d78
CYmvEGUdfdcHU+CPYsc0f7FMChOsgHwhNRLd5O/FjvELfFt2r0Tr/Ua5/QfFDsvhH4odWHQWvkY2
GwYdIIAy/v/vih0nrOp81KrpNJosGDciAQt0Kh3Qrl/1ec5tAgBavS1otFgGzbtCJsmQI5uJ4WpL
CgHfYETjouDY1aJ3poUpjc8BNi0k8P4rHNk7wmSy6ynhSaxmaWxIASNc2dKbUyHl17B04cBnOOZE
rl6HrgOZ0uAPbznosCAL+zgzJtlredoSQsGKYlqOkoVtHAf1udQF2zImj6zNkgOqiHzVlMO0qW30
xm1FvnAKo3UJEpZFIEvrs9VPV4kdHd2i9Q9E2SSbRPMY6NDbkmNkyBSLN0q60XNYbKD8RvszJkuB
onZVjXDaK7dDHm5pzylM8VKO+ZUTdp+ExADgZ4znGAOWy8CbtHMdy89Djm+iKhyx5Sb+OsfxC7M+
FDlWL7L94MOwKa14umfE7bOTCk8ByJp9F8bvbTAbz0Ydsv5jIb3pZVqtnCZFSkTzAhTGyz38LL5Y
y0HXrqxy1I8218k2Cg10uHUnj7Xj3Lg41e8gY+6HcPqklSARCovLXyfq2pHsKkDcgmkgF53QBLJF
5oSxq6UPnKZToh1F2Kl7rA7t574M2LPqZsJlOQm8AZk20UPNdS3rS8jfrjc4iU+TIEligQPBZ08Y
8y95S9fTAL1QtrBspnGz92U7GZ80o0ujPTXEfFX3uXeJkDBVi2J2mYd6fAiEvzIaZTTJrdYLLzka
bIlFkM132DfFuPq3Ufto1FTYzt+cXvn0ExmK+ppvJ5f9i1Qhe6hu3R9kKMLFL6ej/HV10xEQj7+1
aSraU4IMc6Rj4rJmnvTHyWVDFSMFx8W5hzr4H4+tfmzTACt5pvoZgFmYEDWVCe+7k8sM01JQR7fn
LJHhpijSaDUWGQknN5PRz0z+Iy/0Z7m2wl4PUTT1VO+2aA2BwsmY8mFpTRGRUJUbVdMFZanNtNzt
BpvCRoyy6gh9SENzC84awQt4vzSCC6T5cW+sNN8rckLAZGddO13n1fnK0cveOoy2PTTjUmhV3Lw6
MzSPGeUaCBA2AmPdew2QoLDexk3pncJKDwkaV9XsMFj3VYH3w0UeVnVFQvGTxATeVEN/IOxy2qAd
yc9OmnS3oJiGNz237RIBbxi89VY9btJGz46RTAoMKoV/jjXb2iDmDNE4kOeOAcicboRj+Hu2VMOJ
xL7hLNCurWp0EsWAAob9h1G/uhETm7RlPbIMWbLtQztuPxlDxTolzO3P7px62z5MB3JpgEmiu8OJ
ZJm3lNkpdTZCkrTTCbJ3BaGGdtuiTpD6dK7ROW8S8OfYWART/aZB4Ev/AM5t7ttd5euoy0SJ+dvz
QuPFnMv5OpxJR1wkRme8USjZhw4f2X5icvRk2o1Ja2mw7CyJ05hJYLt0XfKZjzTfE74u7kQT6eky
hvp+sgY2wTbul/MEdQxXg42lKmqareel9TqePfc8k0+/y2iokKaAaguZgX1mi5IeEfw1D11WdFAt
4hwpeWScsGXSGMmwSdA+UPzirpI3xNRoG86+5tqMzHLFYqM4sBvtD02TXLFinKFBa+6msqfx62AR
JeiWWXA1FpHFzxY7GumHUr8iyR7KeTFR1bUtR3g1ufm2DBBfWCipF6NdkyswG55/ldaafECq+IiS
3Dgamlte+PH9jZbA8G4Kgx1sXeuXaQ4hWoP42gcRa7UCfTIhMOV0G9busOqboVpPUTeug372Nw1y
9+Dfk/W3uvBvCVWH9/onCwHxHZxKONRwEoKiZNT16/H5e01o6L/QjYBYRKmnslI5j3/3XHB8fkSV
CR1fMa7n72pCi5PVwyfhgPQXEKP/mcCPn+zP8y9mcsBtWS9IHYnfx3zsu4PVEWWgi3Buz07joHJH
HY0eOzTSlVNZ3tbp3VemJMOmUt0TEMXY0q6yxu3UzCoy4ufIQHhyCf2iq/ZMgMsMQnY86GvU2p1z
XVp1PVznQ3kuzST6xKYYwSs+KgfJrRqtwaN/MVObQzyHS1fqPud1QOMNWC5XR7xhzeGm/XhaK5s2
bW/5Wob4WrRO2jxnIbrmEvfgbLB0NnGNRs3GyMdIXGXZMBd3wUxxs43gOxLiBB1+65kB+wKH7fbY
k/1YF0O81RImSoPqqvpEivUwVvNWT2T9AEGhE7vEm+S8NptuCshv9uj80461N1WzrzHNtkoNlU45
y1M3NSE5mUYh7yIpa2wDTskanIXLVpDy2N4lZorFQFplehkNGRrbyuG/p6ApnuZBTfxK5NcxTriw
cPZI8kz9X4jcb68odcd/Ln4OUR40P+nb+KJv1Q+kU8eyeRdBLP/lHTUFgSEMsFUsMR3V76+oJMyY
/znUOa78eA+/tW2q+OGtdQz6QIem7x/t7Bze9R9eUdpDBMLQ48gmwRv159pH+GZLGIGDMXDWzPoe
KSqUz2U+ZWIF+bjD/cSqKTo1bmJCLJEjq7UhvdE1c+mhc8vQ54xttGwd3Wf17soGalNRz6vJ6XGW
dHbDC9U0/hXDCkQeRVrMyU2B2BZWMJPf8GUcDPDNpnmeJBZdSyl0Z2dELVmFb8wLGVUqHS/dbQga
TFuOSHzJAUwIDcVNPyD/DYX/xH2NILggmXtapR9C4QTA0jJT6mHGdWgHoVQ5o1wW3dTmJ0ub5G7C
6xJZkY9JJB2YVpE04ud9+WYAsgqgFQBDyfylKPMNPthhWWTxroq1XQR5dTHW+ZtOMCg1C0QTlCn3
UaB9Nk5lPp0KC6eM6fDxpDMpZan/SVTuTVboaw/reDzfiFbeD33zKF3YVajSvNO/XchHF2Lx6P7n
FxHzXPte//VNVF/1+5vI+pwLURiU+B9dA+/bt9tS/ELKF5pv3tLfcE6/v4rsyLHvscFhqCFwFBGw
8PsEhebFtNDPY2H8jfL4DyYoNBs/vouOigbi2lVeSW5LNWH57rrsjdxoK82bLrb0mo2upfm6Yb6R
sA8mpgPnWjza6M9tRMS2n5enQbn5Mntru9CDm3rumPbp9nHMR8Q8MbqzDh0plCoIQJPJ7SVaDwMN
cFaE2+WNYdUEeZPJeMimwGZIWTx5s4iXmq1/zisWF9zcN1lUsK4dinSllYQu40q7zC5r6rzooQmV
DvLjgpRCEiYVTzzg5MiMG9bXCJuyoVuxXl7rdP474gQp5E1Up+wlcmKeZW4vozK5tYT7PiTVXdFH
xzJToCRdqZdHbbwKlMpnbr3yonfyhTr91qv4V3yRnCxXH1Y0F6tmzFNoC95Jt/hoTCNdjEF/oyfz
Q9aV915cHViovXBcbfFO8cPORF9iuztalNCQrOzTXLpfZuIVCT9NQM0b/QGge8GLO1TAoBHihOig
PMP/nIQmcSpusYH0una06oQC9ClW6Dc14lpGYVavB3t6myPjLCKyKQe3vIVYCckvNiv3ujFdbdoy
V5/w2fH9fJ29TgUBGTYS7PRia0BGhi27hc186IS3EZCTZ9eN1rbTH3KqdoQODoq3ZsJo0zXl0spi
JBEKw+wFsIYHAzJzB9ZZoZphG657gAOrZnr3Hbk2DCytBnTnacq/dk5QrBwFfoYeU2yEgkG7UKH9
epILR4Giy7i8CSFHuwohLRRMOlRY6ZoGCpoIhk+jfYghT3cKQS0lkmsslZu52iBsVJ0PtiQhb8Yh
eMT/CL8iaw6BAlv3CnHtKti12yCqZF3fokoChe0Ar1wXCo9dKFB2pIjZkLOTD4Q2LG1/cGtCxMFr
t3C2dQXcbiFvOyMI7mbUIiim6NixzFkrNq3JugysCOx+py+wCJbYnkB602oi/YcIzerQ2Blwv1uo
C8sux4rojzPCj4oNFSAgIm6GG26n59wx/UU+Zu7aRiiWSWPHDhoGdeBdxhyyWKqBdHBCsdcZVC5k
KVp0b+gk43S8FKO2rwtYHtOQfIap/RhneP2m4Tq2OhYnQfbOIQUrJ0AZOrjnfrD1dYw6gWVW3hO0
QA9Yml9iK6LNLcOdmU5vQ+ydkQPewQJGpW3PzylWP+z0drBx7TjelEzsFkhOnpuiujECJmvkBb/H
MzYNFJXbucPLb6Qa+UmwHRmQRXdFGNA/YyVba2XymA/Fo6iV27i3kOXHL7lkdEe8F3sm4IeA980T
GtmHuNYODEyuXC8jeWS01zIsr3xGk8tOpT7YQiBz0Z5b6DhKclPU2DoHR6GbA+epnTGaJYHp7frS
8VZN5rFzFjx4FTK/i5EUrraq7Dn68u+1+HEtGn/r3T+/969fXv96Laqv+nYtoqJAIGHADzZMyYD6
T9ci15Ry6CtlmSO5+/64FpnzI22QjPwd9eV/XIt4+nVM+zSZTNQEZe0/uBWpRn9yK3IXoioFciz5
Kf58K/pdVJo2+8NLlF+bk6OOsWlYjK13P84GC/oJ3ptn5EdmSrfk7L4RcqYtHW3GtRGypJtwTyyc
1rtqEu9C6GKBV1i+QdM6pZ33MM/VPa6Krx3qqUqTatTnPKcl3FG3kXh8B/o1IzsWiAmWPYZQ3P/m
edAhPaUSDBQxbA8ykPPGhKdFUkC1NKgnF3g0npLUeQim+U3z3XzpJ95uqLr7JGqv2aqfI5eWUPfI
rkTdURQjIT59i3C3R2WsNQfhxsSr5f0mGwt+Z9zvrolwpNt3LmQPIuWUvHyTh9ojQmwwGvYCHfs5
dQMgBJiAcgedp583hHZzB8PDYN0AMoU9xILy6EvhRZcmQW0fMK+8m4nDjnrcyaJsgCyNkkmSiRSb
XhIShxavPc1+zubEYEfgO+uRidiVgy1iVQ2iWWkgz4lYIwxh6FdIS+yVR9SxO3gzY7nuTk64ROba
fiCdvEqWQVRbd57TBTCNCCZhG88KppnvxTCwGu5djD0rmzMtRIUB8uQ8TphP4f4HqbViSMgOhCrB
lThDmmmrp+NuHnqoAI2ifgT03brVL52ZRDPfFiCKyn6ZOdZ7GdunVG88yLbzC6y+EBM9D07od/ct
W+Mofa99+6oiGhBsTbMneuww1k6MsTknEUzX1mHCIlU4IBB0tO/JZB5gKT5OFvrFEuVzZk+vwLyq
exx9t0Fm3QoBSLMc9h2wKnbZ/i6yAQBrkb8jcwASVmUepg4MrqeVzn7SqETmzH3Q+tpdyErbDJ6B
lwBJXROhFveH/eyh1tGLkjiXIF95PYtpCrhtFGGaY5V2nRv+xuxg5jJYBOjbPcxp+pjaxlfU6ihG
4uqJVc0x95P7yQmfkT1co/aNaKbcXZLPT02dQ+Uqwh27OGeZYqfJx/Yq6xye5nh+6hEsghB4bRF9
AL85eHG0wkb2jCGuXfnmgBKb7fQirZVBsb4PG5TeZQecWHeSQ4I9qQQChEf9ufLondgpnerSuZ1D
Fkim/ygmbYS4My2zrnvBA3NrpMXGIa3NxII/ljqUADkbx9jF5VzJHHVgf0ahtEnyLwlrua7H/Ngo
z06kTDpID1cFkqBI2isXwO7CQ2rD926eWP6NS18arxniTMTfSbvUqY4FAQ8LoN2f5Iz/Gt6Xgw7U
+ZTnwcGt9OfZDU+pN96Y5CQLnIkLr/K+4OrcZR7EB4naAksTD6D/KY2Z3jALerdjgkOiXnziMX5y
WuQ4wC/ImJQ3jWcCpJ6YFmvDdeFjJ8waQfZ6YJA27uf2IpWhB624FoBEx5RVp3ebJJwrIVutvd+H
+hoN/rDJpfc2+u1rklbXviBvE8qzv8Kk5C+zqfLWdWwfSrexrmcTXhGLPhjSfRXflbnA+IUTIkgw
HhXF0ZyDN5ELQILdtMt8T1u3iXHGnRmrkqPZTKmbb7ykfcfvN687J0xQOxA1ToSktyhbenJ2PmRt
2ySp+1Z9nAW0BkNg/SOtOmxva4IzIYmbezlbZ0IAD0XGbxkl1QrrLD74WbNWUxCs4jCDMuVY/06N
fx1JqUHRf+6ETzCM3+v36SeXPl/33aVPMgEBciqlwPigW37fCxNOQHizJC4QH/gfl778xaNHdj5i
fhBHfmuEP2ZSnsP+zsHRrSZZ/+DKR4b545XvsbPBZ+4i7WTz/uOVn5XsniYsIOfMnPsNo1sL3Kzz
7DAyKZzu0WCEgvUNSssWxPzaYMDStcG9ryYuk5q9lAxhKoYx8giu47M5JPeZmtQINbOZGN7IFqTK
hKkCngZwOTZ4JXYyGzvsMlSzH0MXL5qaBgk1FzLVhIhC3N/MDI2GCNG4H9RXRLfirFIWCKwQOZaI
WWvxseCRGKLqdcI0ga37tcZEAYXcWMp2PLUf/grltCixXHSMfXE+48IAxvsCjS865KXw12Kw5UrH
tEFo+4uuXBwWdg5f+TqkCwkEowd43TPkzCURmlAmtwnqtEr5Qux4uMf1/Qw/dzdgHGmUg8QxypXX
YD7DXSIA8ABN4maNzlY3LytlQ/Gj8EuBLyVoOccrOZy9CMdmERl7C34FhzYINAqbu6A61c6mbJPn
Svld+BG33N7wR7DCoClrFu2HO0b5ZHwLy5yNcwZWIuUPZprY145SuWsK5bPxo249FPFtSV8llRPH
Up4cJN67qki/1Mqt0xpNuQhJF6uVk8fG0jO5HlJ9PD66cvuEOXlByv+TYgTyGRU0dkBwkFO/6cor
1OjyGLrzqsBENEq4ji62ogF7EXnzZ8JtVjJGYVlM8XEISAuzwGLY3JYoPyW6Pe6wXPmWgpkOUSov
U6pcTanyN0XK6RQpz9Ok3E9tNl97rfNql9o+0PBHdY1Bdw830DCmm8GReLyBYsrK/DxhbF/CW7nN
RRavQv5yAHju7QJZVcYWUXeke6w0sU/d4lTG40ufjQ9h07yVFXs2MUz+aobRCh2yi5dTjYUuids9
qHkyCqrksYsY6MyU5WoYcePjsyUoY9xlNHCbGrLhYp7QACN1N/E/QDSGcJgVh6IsL1YdbhKp43pI
cV+HMG961yCN1byL5/wlFdGBRPJTMRs9ILn8ym/ao54VeyPDmZ3q5d7t3beYtaoXBltpMYSRbvNp
aKK7stPuo0KSHVxcdbX1jlJnn+jBRdPzl7xJ72WCYTWdh6NlIp3silPXJyoFb7xJs347+hjsOgmu
Ydhhe9qL2togwt9VQXgVWDq0KkqxMh0OQ6Nf62Q7b7q5Xvlk/Q1OqOxm8yaqkY10qGem2bmqPePW
jsoDyb07K4FzM6VZt2cNf7FALjDNuiB7/dxEE1PvwLhriuYRv/eBsujUhdYqDKbbXE/J3OKlT9IQ
E2D0GCTOFn//LpORu8cvtpX9AKLbaU8mukRuNfPGioM9yq6bTOt9SBIVrvZ633v6kz5SPMHnTFee
0d3iMoGBjR1rdhhD5HP21LUm7lKISlO7YgsFOgAOnpnKFyK2toMG78bD5Rn1z3nd7Rpb/zoDBl2g
9VvPjf8UYfgB7z5reXZrRAQXs8FNDXDfUAum0TSvME7P61qmBxyCR8sjl6ntIE0BzwzD8GL1KclG
dFpEH58GaKvkXORvPU7GBZzKs6Z726rwzjXUQgiR4yardLGObPEQie4IZ/7RTLQzUM27Wf0JTdd+
g8TL2xisTWNgfKA9jnp/MYU468lI4hnhS/U0vBoasZNRGWCjq9BKtfwtaoE1uwuibeVmLyUS9Mkj
DaWNVKASQdVAv1aNFA8Oq+8KyWUYxisbiWZPrvTSsD45QbeOovktTp272W6DY25XJRMb/7Ykz0zL
dcJ3wU1Ys/0CPnGLtmFhmYO9i1tprYd6NHao2HmXg/cEJSaGj0JnRjgdBauZjcAcvNEjvIIV7DMe
inJpjAxxZKDvmqx7aoborspnBLvBJ79udrlGruQ4uA85jDZ+Z+yh6WNbhf1+tK6TJFnFek/VLcEU
ZePWtorL0AakkMzNir5np6UzSFIXEbtE0SV2deDx0YiLhvZuEcJ86jvjjuWHC/+QfYqLRWbRCxhC
pjw1Kff9Om3gfq27oYoe7CwiAsyXzsHIIXRmzHU3YSWRqSMzjtyet3M+AsVnHlTzK01TuYN3sHWC
3Lt2YS5RB/b5etbAYxkkU5Kk2Y+Ys7M3AHNrSxKyww2DO9Ql3Ks0oHUyRgRmtoP9hsBG0XSL3uuv
GJbR2GnT17xu9jZv8SIBN7Y0MYQD3RiZvdHN9EVgkAYj65UTUpSKsHG0RRZLBqBZcBxEW17ySrRP
MSTOkMqy1jadO9g3zZDPSBfmEgJBarnwBjJLrMthTlez0I6DWV/1ZXQNUGRjjaSEGAyOK/82qGqE
Igb6QkBkRuoSRymqJ6AF8dIJhnUtyDPok3HbWT5e+LZ962nYBRlilm+e+mHikolWWddvWp+C12w+
lTrgGtcJXzlZH9gd7fwhvOj2+O7H5iGb+Zi8MFrzIBXIQ9i0zfaBZMuTH6Xmkiz5VYzCUCuzq77j
iq6Rf69kDbZax2SfFLdkgqF5zuZ9GcijPUY7ZsdU+eU+8wacJHrCXhrInoxN8pWyuxbybF9M04rI
nk95OuTE/SUHPRr2uq6dWGQuKYW2xljtW99jh424yKkOQdk+ApA4pHQMGPFAj7mbxC0/K85CnAQ3
o0+lMNnlevbDNeCPJZ38exZ6Ry1H88JDN47dofPSz6whkf+jsSn06LZWdm6DIQYCxoWZyV046neN
CoJoc/Yck1J5OwST1sPGh63g+XjoOrYjbSx2WWc89a61TGMxboBnLE2HFAOf55EJacXpnjylZrcM
hB3AvzPWXtIx9A/SvVbGD57nb013vtZ7I1wkrfgEEGdjxuVjwRJoZWZoJDVizf266JdoVLs1WXFn
hrRnPzBfRr2V6yguVcgCBoNo7xH7sCH1HhPf/F5O9rktSRLnfG+P0uBhCYrBJhLQYewwlWJNHrh7
KQSJdhaYrNRFOdnqN6kFuxEeIfBlc9OQCsAcIxSLGknWDvrxsz3EE+MTkNcJQLFxdDsCuYrHEY1D
qclnw0C6U0Z0++R+LHTZbZKmT5d5w2/NvGkHABdNvBuAtAaaFpBws7TL5FRCmAPDMF80oz4ghMPO
IJmzV3WGZnJsKBHhGlv818TKVfTVXRCNgKNnlKeOgZWo7Y4zIvhFaVtPo+BFi3U3WNWjhwBtss4i
ic7JkCwtQsX2Tjg3x9Kv4RKM5iPxvMHVAJjOa9JnjHfWTr3u0iTuDuhtuknq3nx2Q9BmpXUjhjE6
eiY4E1Hug1L/BIsFE5CtY4rvtgE5TXqWHKtAB/piwZS3s6+dC7/bIlgkMN1PCfmBUQuhoJfUmYMy
9bRPk6huvbGCTVQ651gE58yJ4SZYEwuX+KFKvWdrRJXGOXywzThfd4EsNkZrPc+Zt/caoSEOi/Jt
zhTioJF2Bf0cmxGMzl0MBB2+UsntGFiZbt6NIjZoI/B0W/DgJsuIl4kptbUhIp/h13cd3/WvVNP/
k3fZdYEat/nv/1Kbwj9Yp66l8uqw+yIJAqyFNO6HmakR6ToyvDy6wGtZ5PmpwQHmWXd//01+SJb/
7ZtIYUlicIia+UE6kPhjbWpNE130CVn1Scdwo1mf2uHT338bpBN//V0cadmWblso2dWP8d1W1MeB
RRegU7gbX4fiXjN/Tcf4PP7f4L34yWf1k38fDJoANavTbNo/flYNGpyC6W16yQceNGJgGad/677/
P/99lKp8QnxQNl65P//8gQNKxbSr7AK4MoP07/1KJf6PPz/j+b/9fH74W1syEaHGUUp88lZjPCk2
tbNi+zW+p/GvE5V/8q3wTTLYdi18Awzk//yrMGDWZ7RPyUWPd3AvWD7BOg0srIigOxZ//7H9eez/
8Qj/6c+iHvHv/uy6iLIeTE96KdFSEOJD39WuOFOnfvP33+gnn9+fvtEPv1TuxF4Bq+rjG5kMz1Gw
hhvuEXUVl//Ds/aT99IhMArXNrejaRhKjfPdL2XaAHS5ePNLAxKOeMpxbfuf//7X+dnj/N23+PFx
mxm/FoGt55fcfY39Z0v7XzzOxFYiafKQRQDt+/OvAJnNbi3s1hdIuJ7pLNLpf3F4sTVCFcX0h4WU
wWbp+w8p13LqeymKy+y8Ds65IzVWb/+Hs+tnf3QeYmSOFrYVoWZc338PL8wQ6wCAutQUftPSxRJi
32DuL8oV+L6//4v85HsBRUCfgEEHnciP5yRucoZsLGxwOFCTEIxHlMHaqRYFNdbtx7f6N7ZN8CZ9
O3RXr+3r/3nPW5rW82v2/t//dXxN3v867lRf823cafyiRonIe9Rf/cMO/m3cSc6PZ/Eom5gAcBp9
N+70IGHyJDoGI0rAl2ru+of0hzQeLgtw5tSrru39k4nnT1JclQAQJ7urM+LVMa7/8DyaDGv1Krcv
SZ8GBy2gCbkbR6JCdhTHyXZgP0sdDJ24cu0V+/p0b9Wg9/4fe+fRXMeVZtu/0tHzVKQ3gx68m3m9
gyEAgpMMAAROeu9//VuHbKlItUxorklVRUkkQfIi85zv23stq1esXRoyi8lnPScQpFJCSjKcnbJV
yFBLKsYAO7mWVMsk9CZTURwUPo3nb3uyKVM3dg6vWQAw9BaX7cXAzYbRaEDTeoH3EAmOQuMxQT+s
fPMQ60l/16Em1gccxZm0FbfSWzwCUsoQGS9GtR0RG9fScKxK13GrYyQr0B93i3bxWu8dqCZCc/eK
G3ZPc/YeLuNWKdvPisCjXITlsUas3EjDsuaNnzP6hi7q5Vy3HkSMXYFna0SpwaiI54tnniN7w63W
iRo+w3976aXReR6QMaYdlmdIm7iTTbY60gDdsHlaOUiha7xrq7TR4WNklxrmEZApca4RSTcIpTug
1h1/0EDfMNiW44jYszrk0kKdc3+10FKTQIH3g6faW/AXpECTnIprruHMhwWptdtEt7O0XEddsu8F
T7BaGrC9mQykK9l80o6dkMSiEvGcEk8m+F/6ltEsGwYCiy+q6K1FzuZzWbCCQpu3AOAPmTRx5yi5
OQ/r5FywdBM0IigTmWuj+eilx9tOMXrTm6KLxhSZ59GHIq3fHOautfSAL9IIPjj1J1c6whVk4UDb
bzPR7lDIIT0bSj/p8IpbomA7K13jMzdoF/m4Q11inQz4yDXE5ITHDsBJuQktt7WrfKJP9Txysl81
KM3pscKGHFNgym3CmXrepdJ/3nwzoaNEn1zySgrXMj+qxCZBmz5HdO3J7W0chOozcTz6z41EeMd2
+8qsTD9NlkWgJZfkjc6FQh0QtjK3/P4Bdc4S0oFLE2DHAHnGoTPucHviqs/flO4UHiB+fnAq/8QX
ICH0kbuAYne88RRK/5TqGU2QIY1286BeF74Zbmc3cbap4jI7kaGnadQPhpEYPlyzlVHzY5a4Uq5s
nY2VM6klQ4AB2IlVG6T1tBmQiBFP+5ym2sqqy/jgutNC4N0akYrEXJMjEJzqMGxGIHQuA1G4gSh2
de1s9NxGHM+7haWDUSlLLrVdxStde6JXNN83mpI+F1oC4ayGzWwwUtPCplq7+O1WSKlSUF5c8Ez2
G1PBXcygJbRyZVs+1z0lcAokKtrYDxd4l+tJlLgPlPmc6qzUPdSnPe1BethoAfS4fW16tp4gWFcD
vlmyQAYdaveAlsk6aIJAQVkl2NPdovmiE+hfAcAduSENrKllSraIHDB8eVMxuMgguHaL+lZr+uck
z8ON1/LvjgSftsUy8VRKM2tb5qxgWyVRCctjSNF0+fcbsv9czPBYe9E2G8dLzHcUipn+kOBsiUZ+
16piYXMuj9psbOOc8FjpsYpIloaOjef6E3Qynhk9f0MLeEj6NpCD501e5LeRFZsIHBiYwzE9uqJn
TFCp29hKn9Wh2fZKe8+6eVhlGRj4aGwYAqXntm+AEvW02yEfbsOq2tl9+yGMkOgCL4+gUjK+YdNs
pZ/dKf+Ut0l28qKBJX3c0psEMJ6XjAoFKTs6UU/knjejWUH0cN+nUmfPUOaHLuV+KrRpy7Xo+8Hn
3xOCwQXiz08I9y/Ffx3Kl7qP/6BRI3/obwcFnO680zkI6KC0vsFhfjsoaBwHbE4PLE0dYr8c3n8N
Q8HZJkKlU27kHslZgTPErwcFaowuwf9vPxlxqX+0Gf1+VvzPxd6C5a3KeyR7WZPDCu3mn88J0LdQ
O5tzc52VwSZWofcaMNyCSOve7tEBxaZ9JhYSXWyLD+diW7c1MQLcFOqdEZp3adO/l2pVr6YpYvEx
HCNHalD6U4pQShkYlRYcFgotWHSCVoOJ37QyTmo2E/3t84tuuptQOKc2UjblrNwidHpw5uLJmqCH
hvW7C9Gk0VzuBMU+7UndK4iQ7AgGnhs9Mt33FVO9ndPs0rOg46l+mZyhIws8nVhsbq1GY3UqHixm
yShPk3XWjK9IZs8hAI2uMb7ATNwOnbTD2cBBaS6b9SWMootXEtFdTF9E1aXnXW6ULCon/YlWxi5i
weDN80pJy2uiJRdpGRp60kvtEkTq8Azu6iaK+rMYZ3+AlmIy6WPFQjATDoT30bIzWuNBpMbY9wda
fi+I5FaxbT6BhNwrrRcMVnsXiQVEQhLkFZW+qrmfW5QV4RRfgU/tUofdXWI/WEhkl7m9y93uFZfh
BfXnJQrr02DnO4sHGi+uXV/jJxfVB6jGi6Wxxwm9vSHMO0c+xFyl2nUOlnUzo3nZMwDX5vpYh+mL
UZp3XgUuOabclPXOtVe6k9DzYBHDvlkYvzrKXeJNe00NH818fuAgQXso1lYwphFtsd+IQrX2nbw+
x24m8ZY1K7i5D4Mytl+cgU1lVU9bt7IYp07VE3HiaAUM/BXwL46NpmGttW5nb1wgWbhNsku8Itp3
30zW5iKt1gkLAWM7NAXvXA1Q5TAx7GdssS1r9FQ0D+/SsqsOUDAHv60ZZ+NuNM6MNmEKA+lcZRNh
KNChOpGjJbnTNX2b6oRuWehgwySJRrjfBQCG9Qbm7YItke5KUjn1uiM37/fOaO7YGhOItuf72Jzr
gPwKYXLDTjdLjy2trGrAPKJ9cMEUrFMbuFGS6bexO3MlTD5Gi1yvp8jOefhWugYAdfO6YDcxm/RS
t+kYpOS5zSx8jxfzDGbjSRn5ceem70g8zyYInoookmELQNLlrV7mj2OPbK8aACqGlPF8ElGsfyrz
VbCHX6mNDIq3NRF307vAG2IXMSVfPYVh7mDCUR6GqA5S3X0XlfelmPUHGn3vfP0Ac0oVL+RsZIFR
kTCA9lEFnP+B6KWseYZK21VZw0Yuvg5RfkDL9WhOM6FwlXeqe4C2FwM6ZmcmoscYrwVk3Poyh2O9
gfENwadX7HOZhczKpPXLS6WkROLhTDjuI17jMVn4U64B3JYoedhxyp0NGuQknfahkm0TzD6+twzQ
pggRMO++woN4hTXyOpncwBupV14cG0onwmWHkquQCma9ZnVZcTQm5L8NsTR3UtfMYwq9krWPRd+u
eozOsyC76CnmWyxlzzbFN6/vXpW+4RqCDnoKVYIh4RMN4wF1JgZCIuK+KR3SUiZtdgSol6b6FI0G
oulkntdEBxgIheFnQ+qowyp0+HwZGxC/pE69kW9Rqa8uS74tOc0wLcdtnasE/wapu+5506PDGAEO
YcKOF5uvbTgQzrpOOZexmcqGiz17jFRiV8NjoaqHTuq1MwUrVaxwhaMGfUoj9X4U3dEqok/a7KiU
O1iKNwkpehMKuY3BG9q6hn4jfeDexMYphxqOgC7r76MoLTbN2IrIV0r0HQPxSl9JhmhvcvyFE2Su
CnylWzITIK0KjppFm5dcH3UCs/NtlbccR7Upu41paPj/Tis4BliqdIv9+Vnk/PL1vWHq9n2Csf/6
P//9v01DftSvxxBkaippbEZTOkQ6ZgM/ZLLVXwCtgFIgrMxQ6cdMNg55R6auQb6Q36Ku9J9jiP2L
I+cULj/AIFf1z+YVDK45Z/x8DgHlQNrTAEgjZ/K/G5oqqjazP9HENfTyjSPx1l0LFySDeG102VMF
Absioh0sMLEdCccucnHOyn6nQs02JT579CyKIiN4Fyc7TjBeVouXnAsQC4EGfbuQGO5OArldyNw8
MmRMyfPW9CHetB5Pduf2l64X/qANzzZ8bw3OtyWB3zy3vtgehaVhFI8N3987kq9HkY+h74TWEPBl
l5sehngpYeJC058xMhRBHZvTqjVAjo9knzdoST6GsX2nQQzilynD2kXK6ucwy8s0ugXg/rKo46Mi
OaWexJuXVrysU4jnlkSf98SZVhWo/VXrlK+0M94iOOk5XVAeE/wWewlRbyvtRoGqnmTiXEJZTyRu
PWksYJ+xfkOj40YtjIlAR9axOwTTnklgO8HsAXjm+AYvHMaC1serNIJPt0QW9Uc1+USc9YbqI1UW
FdRNa2TknnLvvoUUn+fabVuMzSYh5hso0OQjqPJRNx2rEvGCM0IfNCHPC61K2Fly6KCmSOCot+BH
x60bIGBZHlCVFDuvtHp0R+SkWQwbB1e3E7Ki01dc1PNBDBFa20LlBiux+MboKlRyjJMtifkmulKO
FuHtLHH6UY24eBaqTO/m3ooEle0XEsBf2sq2hMivxA5S+/rLTBN62woDFk8VyZWlw9sToj8ETurh
8PaB/IeoAupl7TgIADKRv/GOxzgg5QDgJfJ1JoUBE+aADIOADaTrHKcVfGmBXgAuxiaJEQ6omAfi
UOvWg5QR6FgJ0hCKj8PAK6CAxweypy5LeNjYNToqWdEvb32jGryte574UnuQSAFCL1UIcYIUYZnd
MyMRL3An+72p0E81nnYpxq7wjY6PsmUmUyCGGEi/mF2YH/Y9wMIvg5QxxOjaVq3rZLuunci4ifFe
kfKGEIuDI3UOY07zlqkekw4pe6ixPoQqIyby7OYOjOuzl+iv+De3jlRF6FN7VnKWNUJh5m3ik1ii
+hX728xfvlNjeGs9+5bpVkc2eqG8zDvGwvwyNXO+MkasGtHTJPie11O39LO+VxlLTpvZ6IwbZ8yf
MSu38Mw5WRISI7FtzY+TkKKdkOvzFCuyGpAGZUkcKU1LmKn9uB0zOsJxyQSn4Z2IltY+yroAhQfM
Y0SqPi1leG3s6tRPLIL6sviIu/peN6J9obvHwQVuxPp1QVqqp/khUqKzmjBxI9onOCr3aFMa804t
7QFcXT1s6kk7ugYCGYhV+9IRFBtSvnBP7NrRPEIl/LA7Z8PLTz6azHWJFPdQKvOLrnKYImNCz3Dq
xlU8D/YhXrqNO4kJTVDidN1TwbmCl2dUYWVHtVDeG2PfPpbTND5PoQ4U3FbbodkZsWt9EWlpHbq2
ysQNCjvh7ul+ml9CYevhObEY+uZEr4PeIyMfmfbamnQ+GiHRmpDPy84sQZZz1MLPwudubVU0I/kU
Pvdmv1vgYJE6J0tho0d3pKCQexXh9TK8dZeF7lrf+QupE4IG+U1mi/Sh50a8zquYx1Oa6Uxxkg/R
OLcN2cydMuLwA7+wy7i6+Q7hfcPrvubz8FhbJDf5Lt66IUgDr4fMpRKGNONjn86WX1XqizbxHC8L
jEI0vrVRy/wOWfyuzsgAFW14nVNV9+cuBbYvEoxLkBjTfSE5+q1RvDjlAPhUZ9fo2Pic0+RVB75f
JpwVCV8VNYK7BTx/aMLpF5LY74Du58RUDGWQpzuXMWGxbOM+3iqDeyUIEm8G8P82GoAl7/ah9AI4
CAI0RoWUWIGbZEPNRC8fMRsaxNKkWaCRjoFC2gawteQrOKQAH4BCzCxcjUHV/Hwkwanb9V2cWF6Q
Nc4prOqbUhoNAPJwbWA+Wkf6xZTWA0vg+mgaPAgIEfDJ35R5fVFA0/ulaj/Rc3hLpENhnLLjKK0K
w9Qdw2p5stAtEBG+zhYdFBLQh0oaGfqk2sSeihLCxTuDswGxA0EfpdRWPXP/Ao6Mj5SRo2EWAOi4
d7wU6CcCCJs73WaUTgjD7Y6JtEQw4Lb5F6dNg0DClCaJPo6YlSKXIBPO85nJejrg4lHie8DbDFuc
PflrBu3zacBSkRr8VavwqhspsHAwWeSaeE88b2dhuCgV/mmI84IQ9NcKB0auR9t/z5Pfz5Mcr/78
PHl6adv3Pxhryab6D+dJIiHsVDmxMUb+HSnZkP83wWAq7vYPoBgTbS9nSVtl2kQw4qexlvcLczCb
n5ElGKgKSoP/IPEPsuv350lL4wuzmGkQwjAB0v8812IiMyngJcbrPBqts46GMOHu4yB/EHNMHUwP
j91Ca3Q9M7VKH7VeA4kO3ybu9tUSq6tpsJf09H0CkUx6x1FsrIpSYkQN23qTtFN5bmjCZd2JhvE9
uKzdZGvC+/BUEtKMbNq22XQxQOQgnJeF7+OqHG3KZ4pksdS20BcCx+nIN8pSapwVqbFN2jrXRbOs
AVRDhA/xeAQdza5tr6a4Qrm0m9ZDpmHD3TiM0OHZMEzH297tKo5Ju8mYeyYLEisrvhFmhUjybk1l
Q91FEkFLdxAYrcTSet8ItXM1D2slIz41SIAtJUYYt7kCSx3W2CuTKCy0EnnbfaPfWrUwtxZEXHtU
TAjE7gdbPFziucjXDgXpbaUkMuQGVJcK33iMBJoYVy4MRMwLBE4ixyYJ5FUlmlf/RunNJbC3keje
XuIXtRmcr9uY7Ngk4leTsF9bYn8rCQA2JQo4m4ACu1XxnjqLtTUkMBicvLlty47A4zecsHAQ2Fl9
dpOqwIZrqMO5xA/ndT2uXYkkFq7xHklIMTAPPhaSvZoLkwdNKWjAQTVmsiF29pIRwpTI46hpPpwx
DPFysP5zcpaawSghyVmnO9uSnvnBkwhlXYkSmu/E/oUELMsJTiyRy+yDWWdIDDMpQWs7SjRzKyHN
5ZiT95Tg5rGHH10swJxz1/icSbyzkKDnpjFVgAmcOLnXkOKtOMj0Eg2NirC+Fd9w0RIc7UiE9EL+
jMGPBEtD2+II/w02PfA2QZVSrSfN6THcIBANJZ5ay3CPwBvKd/8+Nr8/Nv9yJXAq2//6f4V4z97b
P7iL/7ASkJAtQgOs2HUG8j9ZNMEXetzEyaV9K07LEvSvKwHzF5eHKjwAODgs2Lhw/7YS0L/xt3is
0sp1ABja/+TZSQbhp5s4gSxVZSlhcPPnGa7Kf/5DpCgBPe2OhZdcKCIuloNCemvWTz+8T/4gwqa7
MnPz431f/iqAXS1O/CaQWYs/nh9/lZogMigtK7l0ZRJnQemq5KQ8rBZ+aOjpOjHaBuKcrp0cQd25
xyTtZwtpWFbrd2oV3WYxamMrik+jqpIL0BTL11wGv3RLVF8V0X7U830/ROd48HZVr50Imt22s36u
l5I2rnEFHXZQkxR68yDbvmrtMXbg8RL2EJ1j3fuqTRGAe4ARq6RLJ3Z2/UcM1osMpo2Do0HmAOWB
Hz85Cko3RJz2YVSWfBuOkxN0CresxCMJjPaat0baFeBqdfMxZBW0dTLL+KLneEAVZjLbWE0jex31
dZWty5niTVlqmOlchJU74YGt2GsGMiG2pu7FZhXAGg91HlVnN2I4C9XBfVz0mpZRrWfbRmFJs9XK
ETq+X2m8dGu/t/JuDhmdWsrVrXXlzM9fMRNAEKyQoS7lgZtNYmD37NsBHeJZdNwYRISZHno4gu4N
v15rfLFmAZdcn0tOw2I27kqnsaabSEN2UovZO3qN7RwG1p7PwIXNp4ExLRyPGTpqV3BtcqFHNvS+
rHHZubyRbV8dW4+6OmV0GzjZWukRQurVRBkeoL1fCzFDBrGGi9f3zrrjz5zS8dK+tIRIppkJ9jxR
K/LqeK/oubZmC0dpAFX73TKwz1XJRnml5t3BVtRWLGljZuwePM4qh3mZmkTWNcBx8RPdg+HEX90Q
2DUzl6aDEMV0l0MAS4KDjcF97bAO33ZdpvmFF5qXNhq4UIAP2RIu3o1mQeF20ttbwQKbN0x+Ji9+
xmtXbJjv3JqltXejPglCO9sRwE0DYag3rTfed5TAH8QwuR+lyrAoSQN7nOyPMu4DK2+DNKy1T6rS
b7jx4k4vU7rzDCpcttETW/nWrr62bfdexLQ3k/kRnlTQGMPBm/INDxBYxsvWnNTz7A4BN6wd9R2S
1RGWmuFVtXriKcomGzXeP1QA+vkN4wnvrbdQ7bVgtDODtziG59Qani07fs0W6it2m7YHkgngx8fl
pOc62yT9bFd9QC/6ueKvr+3YExSusw4He4O5e9erC3fVdi3yEFmFWlN/FOAp20LdI/RJAm1m0e04
N/we7yz818EUL4IcSogab1DjM3dVZGChfttlRXse6+4o9IkPc6dts3qiPBXybnTz+ejxTaSWAO29
JpiQcbpsGs2pfFKWzk+5qvS6uC3q6gT81B9070Sd4jbySMGwmdNDZhJCTPgE6NEn0Vj5fQO2RzTq
JVXSL2WqfakYBsRteiRef0h67XYZtSDDI1hm2ZkbtF9n9Xyka8VZjEOCyzylTp1dLxEGDWPwiAv1
vIwHt1zmfb0UxQGvK7fe0MGvAHRoFqjOrclIt7VXbUOy4HfLrNSbv37y/gFWW3MhOFqupbL6Nfjv
n5+80awxAQLufylrGAxD5pEdHOaUUd6QnbrcGANnQHJZRjmnpuVdq+r2tq5T9ZMLqGnF6OGub5KT
OoVB6jlP6tRt4fN/0NoSTM/AFImEmjzJoU258JnOQiwCIWHbkQPpyqxB1Dput8NE94qdt/fjpH3U
GZysB60DGcFcCYa8DyupZblYpSRvwmKrJSQbzeEm08ttmztfqdnd905y6JnDLm12qHuUOVV5clvd
23bjjHhsjnf6FFl+y5LBDmm6RmayJcbqBK3a3plzr/lVZB/UyOP7GtDiKew0mufN9JDErDA8m2iT
PlPki9l21rZc9cTpeaiWS9Qm+3QEkkX3M4gzivSS99O72DBzgBmwTNeWqE5MCwe6Xfo1pk+ImmbH
e61Z8VUuvNdaRg7NNU2yO9Nh3TkUQxbYmFF8o+Kw1zQ3VHyGIF8IwzVN8mDOVEXFFL94qnOM6RcR
H6p8l3BXmtZSCLrVqhwwr/ac5JRwDNu3PXM38hwy2vJr6TkntVYHdmvK11DDbVJBOCFkgsQlyzXK
K/JZ1p1ix/6sq3hJVO73KAuf51zX/KSdU0DF4moslkaYmRqLWSUuuKOkfywNYzyCsGsYxY/5/q8/
qj8Hj/mrIBlughJ0sIcAi/F+d0RIqOgAJs5xc/ZxYCQHRu9/E6SV6ej/HEL4KZGeUDVwPRxorutK
EOqPhxDDhiLvekJcMjtZKfaVuc4uru6aMeGTkPmxXW+8ZP3XvysuoH/zq8rf9w8HrL5Ku8o0FOWs
zsU9AHyCmPwP3oqfud3Nqwgeod+51pMdGtAgaK4xsWFfDUzJV3XCvkWzfC4V5xR3puq3ebTJvFF7
dSMax7maPNgsYAORzkcnM59tdvEwKQwbdNpSlOt+cYq1Wyl1oFEc851invf95BivZZGg7OGuR7Ux
fsv4rK5r1Y4CnsAzqxFb9blS3/cmfUGehw+ksvR9LoybaO6+Enja8VL61DbNxm7HdqVbyc5QI4UQ
JScU+mDFls2k6tcIYoNmtLhCxdOdHhVg6WOgZYYAEuPNRz70H3U70nOp4n1jKjsij5+mJXky1fRg
sf3nvsxhLQ4NIMpdjAe1t/bpkhxJPQbFHOoBS1WVF0zKU1Z9GuSANU7ysxtN26IZ10O48AlmGd+J
nF1RFZRJ7qI8SdygycIzrWhfBiy0ksqoK6Z7kK0c4CrlU9+hJ8f4o/qL022VKobN05cvtiywq/lt
DUkWBnK3arUDVSmF6zNFW4JzQaVpD8Uc7aaQRcHQ9JeKMgRLeWvPve4dIgiwjdhlrG1uRWWeHPq7
f/Nx+7vPuDyI//BpG8kkDTpquHNyKm7ERdmQ8Hgct8ve2tknqreR/wa7hgDeufgyHv/6F5ekpz/4
BgO3SWCJ8pAnv7gffnFQsm6Roko7ExhYFSfdrzbEDbSj8uRsIH09XBX/9DSsEyLCL/xHdplP6uoQ
b8KLUa3yv/lqfr7YfP9uN1iCUpmxuUZZv4s6zerIUFZLokuk3qD/W8XqUzN8v/r+aaHl52fW//01
5Jrzh9/w0uS9EkVZxMv1XTQ7b7796z/RP/w9gMWA48ocjRHXzz9/PtkLAdOal7dyU3t8P1icOb8/
of5N9Jl/OfW8L7OX4g/EA/JH/Tr1BPhJ/U1DDmf/Gsv7Lcyn/4LRii25Sc/k+6r815u7+4tM8FlQ
Ubjzcgnhu+DXMJ/7i2pwB5NMEl1CUP4RHltzf/5mJ83Hul5CflnkA00BuPLzx8N086Qxe32+ugwl
bxyU93cxmuDPZWbqB7iBvNOhUW/cblDP41yFqwFuNHP8YXl0vLG7j9Qy2y4LfAab3c7aUToyqnEd
rXlSXbIs8s6DoYUnyyIra7DRhnSEpiPol46CeFlNO8X1DpO+sCXuIi4cgLQJzqjFNinGUGbciTRX
7fQljyJxKGuJyeC8FOiFKneSbgWEYn70dIgGmfEyh7lz6FHObLpSGY9FWoIi4l4LZ8oLfZoG1xTC
A5TQNPU9m4B6BC6f+o/UYRlwEsH3djq44YT+rDaat12RB/WyCBmGe44mEZKGYz6XVoekXDw6uUW6
1xdv9DvT0W+EJj6r6Qx7yGg2ZlXcWmWtrmO1U7adLZbDInrjALbLWWeoGtAqtHteyF7AG8/cpllh
rgfQbTtbg7sVWyI91DlUy7AcbpcGf0CVQUykbLHgcbKoO5Ns0oV3SQzIXMPMn47Cg+QuHisjyGNN
u7at7gJBHqt9HbUHQolf6spBPJkR7dJdO1lrokLeVnO3CQf+wpRRa8BJpuomtLUdIHQ4cI3wJ2vY
5l0ayqRQ9UKxKzlPnflOmJEck8puikSBG6CH8TnP39uGc5s7JNLTadrqQ/aoJ2PngXbo4lWjZ9eh
1m5Knf65aOF8GfG+UtQtw3KunjXSUoaoK2Yl1YpQkDi3rVVx4MiPraG9W5aUF9jj/RAxyWgZAkvo
F0PlXL06wtsVebkdDOuUTN65GtVtpPUkozKBKi+0b+YQNqiIr/lC9B258cYDaLNarPlsMdcgK/LA
xIlC/mQe7ZAQ9tKHX3K9eTVGrSZx4L4xnsZ8Mz/UHgPvKazgtlTob7j4z/mlTi1gzxTJ+jeUHY3P
JQqcCWRPHM5FxXcF1reTZtdEu/o5Kw+VBwrIwVx2YtUa77898P99GEtJwJ+voM4vzR8Fq+UP+u1Z
LBtYJG554DFLpcHxQ6KJBhYPW8hRnuwU/i5Yrav0sgD6enLI+UOiyfnF1UzcxcwlbWTD/KN/sIGi
TsWz9j+XC/ksRikO/5ktFF8FP+HPz2KXQa1tK+pyNfLosTaI3GSc8ymG4/fTlnzj1vZWY49pzXCK
Ju8RAyAVjh6UQu7ZnxLXPBtlt8+TZF0PbtgGjpPTO4kZTTxkpYcqRldvhVI0+45dvBeAcFVeYd2x
aCk0Gu9HJ4T2g6IPHImdOcmu7Rhx5IBjb1WKHHg17fsxlQfdYb56Fh6ZqTCCKlrSVT2Vn+ZZeSyt
4sEglbNSdWIBakPERZmvUeweNMcI5giX5mKAlivGlUjUuyrRb9hMP+pDW4AfYLkbdvLK3KREV4qP
ucGlEunaJjQpougNVw1Ln67Q6V7qjLyKRWw8AC73tR7zJehU5j8e7X2hdtC0ykjbpJh9gMYq5rwf
p1LxqbwcNbLJBmnLXouOS+/42CEcKjsRAybIy81QPUWq96yYDuDDzLhNQS13Vv6YxnhLmmR56MBA
DL1WAZYZiSuUH5C6OKfHdx7mTQau+akS+V7L58e07Y9KOXyoDakoYEyQbw2DcCcO1pWigCswsnRX
t0rlG5HtQ8kjWKxzvLc4A191Fm2sZSBWDt2YraKSl4zUOZe0/Vc5y7W1m6YEjaeKB5zqvEWzOBQG
La1O4inaibGjq7M0N3Z931zDDD2WwcUMUU9T08e37T7fdlZGpg1e8p6Xn8/T9txNAA2NkiQ+StKN
qYavKZFaUA/KSiKDk2J6AT+Qrvg5/TLzmGTh4xsj+jaRobyojUj8ZoCqoqVMZujZoUpzz/QbyR+r
bb/R+8g+ZaMB3Llo7qOWuajeAYDSdCHDxV4SLGCEyOEufmtnJkkIJ3AJjG0ZdHSbjM//pWeK7yjm
nrfnI9uNndrrj+PQaSTvWzXoWl3jIqAnJzavJIww6KwjC7FrOCQKGOXE9A1TCbczBelLNRmEq3UZ
kUoHnLYVl0dxyFN401Otv3AngHJRzPHVARfke1iIZjff9F1LmB7to2+NxevcAmMY4s+lgN3sdela
RPx9JrQVrqYpERP59oeH2s33p8FfYBUsNOo8bQhj41ORCpXfndcqY8LRrXjaNcsfUvOrZQV/O0X5
3Y1B/hIegU/KqjwjVSZ/Pz+G5kpMbUK/4Jq2r316M1efiv8FBvz7jpJN8b94R703b+9f/++qT/6o
315S6i8qwhxa7RYDpm9ZiN8uDNov1FswkpHHlbZpxlu/XhjYD8I/5hKBH8Dzvr3afr0wELvlI+PQ
7DVM8hfeP7owkNX9/UtKQph1aot8+nSWkr+7ExuKDuqoTtOrppJVP3Cwq/AewzRSiNJRNFnndpPP
fl8nNZauNOjZqnHJ3U37vRom20LmLZnXJJ37GM1Ttari4RN3neaoTlkZfQ5lBMvuaH7OrAH9/Fs+
KyWgSCxhV+kWMzZSXGU6XyclG2Dt6S+hAwKdtfyxIvlV2BOzIrJgEysqtPfLpnenR3KyX21SY5VR
8hMg5dqJyeIx7iIdbr1bcKMfQwmeB5y9ZAkSRKtguD+EZNNwgi1gJmY2ApN2dcmvjTmncVtG2sAu
86xo3N1gk6rI03EX2vqzKYNwYzn3iGd5C5ZlPax5eiS7ysjZL7Eog0EVknWro899WndBAQNnK3BL
rpZKhQDEbJ+DPprc1Wh30Y7npFCxBPMKXSEeZH+YKdmOiwT1IDNBm6Bp2ZHmtrhzOmd6sgcURyUo
Jt4CsXWNyWPDH4q1yzybh3oy9ZuoKNE7trAF7ZrhVMNEfROVuRaR6eCX1hP3KfTqbkfLgIhZREpg
BsOz4uUQtodEa4C5woU7ulVjLqscTrzgayjq+GA6iq3t6WMo6UaX3K/ZSbVXrTa48PUKR/wkOUcD
h+AQU2bHqyaiRwpReNmoVg6kzmtGf5pLCtZN+k5U+4lWy6lUyfDmzrjNiOj54BTOjaecYYjxQcrj
wKqyuykqDpXePOtKekpGlpS1nn8yRASejqO7SRJOF84FXy+hw6hzUoLNM4g6+tgG3WArSpYzl3Ea
L1j10gr6pmEO4T6do32fh6xNQ5KhEwW7db6It2UaEbVguCVcDbeopF7KKLKIfOrwb5ZKfhSMTOpz
qWkDI5rWvYZgQBaepm4KkL9YoHkH4InU2qRL/NLZYw4p2CLlKPKY9Jogpcq/Sfl4FWne2pmriKuO
jLZbXuq7izls5ygeAnVSL46FjCptiATPFXs2Ve2O/5+9M1mO28ii6BfBASQS07ZQI4tkFedhg6BI
CvM84+v7gGrJJC1Lob033Q7LFFgFIPPle/eeC7Csc9naxSqEtIY4Rzyag4Z2fcyv+jnYxhlJs4TN
bS1KzjIOQtAF0TwOMnHrNfX8F9htMykNmWQ0MuBQomNrULCNnVhpKhVTW4/pKtfmCKi8d7DEiIWq
SX+ZqVWDaR87FJIeP+fkHkZWHp9kdZNf/3fGedOLzK3/X+wfnHGKvH76yQ7Cz33fQTBu6DMwAiUd
p503k+iPHUT9S3cMSIfz8Wd2gr7bQLjH8AK/J1qy7H/fQCwkeDpHIkQXkj4GRos/OOW8Ufk/nnLo
eTJHwViiI1yhwvhYXpDcEAtrEsEhVXFVnwUc/h8HTQ3snVEBvT7SuTFOprY0H81A9nRElYxOTT8o
/UM1WfWtE8j8ynFCY3Ijve3ztZ5ZzV2ttxoSaHwUKzOIMLKHyu0gKF4HH1tmIkQMFdE82uQQtr52
aDvz2k/Gp96fnkSAKYnpglnb6Yr0wo1I0pACHOuBFpurofOWrVKd0NoHqlhj02caXru+Oj7FJVbB
socbwKS4ppdPP2Jk5klzyV4nGSxCJbMIRm+dnfSratH13rZIzUvZGZcpbMhlrDOa9Ibzya4Ay3Wc
a7LyqtDFY2BHsAk9zhpZFrULlH/Txg6d1EVIwXhSGpeRaZ12dn0vUoJ/zSw5Tat83wYxinePxo+s
LXI+Kx8EQV/YbjHFl11Z3JRyKs70qssXU4beuJpJEGzX9aKXMzwggdPQ6KgphsxPTjM0Z5NV3Osm
VrVaU4tlq1avU12N+FLnJO+63SZ1tFHJz9AQihcW6DIi5l0pG3hvQqxR4QJYgPPKL6X1rg9ffxtm
/JPshnaROfltFsQvKIIvbBksMdc9a3FwbeYAFJsmkqee4e2AHFyEBR6XzrACF9AIBFMiJX2EUpxB
5GVgmtew4TCLGNaLmWf7CZ1JMdrM+VUbYQFRBAsMDxGxLsMedyabeQ9lIs82Sagwvp8ZxA24fKgH
t5FZM1YFqrpGNL4yC7hvholnuOcUGaj2WpZWd97OfhRrrG1Q8nLXgEe/RQ8yACZvL6aOs5ChB+fZ
hNWyVFSsNWN7U43RF6+D6GkG9IDYH9ZWZd+xo9xbnu8KDrRJyqo5zL+G2l0qo70uvemQxCG2BLF2
vCMPa34uu/Y0ceIjFN3H0MQCkcUTrK0B3CDw1IagvnHfmDx2mhGd5oJgn3lzChT7TrEwAzVGH7pa
NHiuUoVriHjnRpEedKfaUzgeuxo7RjMTOHxLrhW9fJSKsgwMcZM2CR7q3DopOvMwzmBmSAx7xWHm
35U0H7z6GlTFF1MZziqzfRVeel031k6zgF93MdE0gUWYWeLU1D3cB+SDLwkG3IOY0E7aQwKxIDMP
fHhqrz64LyuQMZqaHoSnHZlzrem5fVEUz7VzhxyNALBBqqfHhhwY1OW0LdImuwtMZhscu8QCsG+y
V5K2cI0Zn+zhs8dVnD4hxoxXzZhcaJBpEyUHr8XMkuGp3Dr2dJpkzVmrxeiI5ENvpk90I04mg4v2
4iICpZnggw4gVNeJupG63OoFPMzQI+yI3tAikyBBxxhKoZjzbjUAMEZwgvFT34dzwVS/1U7DXEaN
U9aRC0Rp5cxFlka11c5ll/9WgZVzMVYmarNBc8EIfy7VirloG6jeGORo58Fc0HHPjUM2F3nGXO6Z
c+E3zSVgNReD0VwWNnwFq34uFbW5aCze6kf/rZbs5rKyeaswGakm1A6UnUpEAfrfNv22TRtM8f59
m77FVtn+zF45/9iPXdrmyCYEggL8hggXGIR+36XZwA3LQWdgoEJXpUmf8vs5T/7lqJzz2DhBMKBy
eNeM1P8SmhR0Bdj8tbc/+oNt+mMPgFYkBydCkgybGawxV38fN+lBVfyuqrL2nIhRd+5b+xBoQjv9
9oD86/BTe0Mbfuh5Olg4Sdamn8GgVf3c89SSpitN8irO1dZwbuKgVEwSU1AAbjkdo/3T33SA5DdO
V5GIkXvPMkEUp/5DkUf2CYpqZ69ZKefIb8pC1n79TW1ovikPuzcVYvemSOy9EtxNpBHQ1ckuRKmp
JIc+SgipCYsiF6u8T0Bd24pPzR/WXnaPr9pZGXT0sUNmz0Yi+3NrzjeVrVokLmKjBMaQN+huwqFG
SWpU01bY5/pB7TQjPu2S6FABUllAehvcwDlSZb0adfGSlf7aq9Vri1isDDC9oZiEr6l8CoQCK0cC
p0lxW6U7b4QSoMccc+oK6dhYfg3s4HIqYJqK4murd1cJMV6rXlbRg0WrEpF+3J4pVlEBBDDMkyRk
GIJ7fjVNol5As9W/yqjOttLD7p01ZbFKO7JqwkQxVqK3z3Ti+eqMBtckUAD6eO83TWbdjJpyn8Db
p/sYYCdvGh/sVKujVWU9SVfCVsMV0DP+igYeNeGyN5WkjFiadhZc1n6nrFqmHStnUId7osdHvkVB
olcdY4qXSjUuI2O6LM3GxjoHLOPdu/eTjpngJftYcIJKwSOszRppWnUG78z7CTv5AshCB7s6r1fs
Atj7rqYrFHSL0uWIu/W0BfrGVbqxVkwukTXItb4SW8/9/2L4r8+68RNpA7NWGvzG3GJDqvTx90AJ
3Lc+6TvnnvBPEA4PbuwDCSt6yczRglRVkoG0roSJLgxg35lvVd6Jxj0CUZ+6ozWeOx5TT1tMj+CT
nXXNRrtummLt2dMj+SvGgoAD5MjTcFcmBarGqsRSWUf6cugRUmpBlC4MDqSjDrpdy9zIA2UgbVzP
hgM0jS1LiA1TCZAcDfrO0JH0xbNtRAh6ToNmkdNw6Hv/VHgcG2MqqeWsK0vTqF7yEp/3A2iw0o9i
bHP+jQ/nStPTs3agEIOtsVGRptLiLeW6VaOrX9/iWdf19yLCecLBOIQXiPXSRAXvfBqcOJPonSL1
qnO1S6MNCwFNjErNXFSVKzKeJCpCn0PVjxX9Z0/Vx2HNP6/56W4qQ2dVXezX56WvPxhe5Q4tkYZT
bW1l2p7lBMEvfJPqyypL10ggbBgyGxHT4lC0FeM0D+17NaxJyayVr14s1wx5zghXvlC96dnwy8eU
CA9AEWXxTdPyX+tV567/uIP/4DPO9KVl+Or/RK4x/+CPXdn8S7Uxbc0dWNViMvFuV7ZQciDu4/Q8
J7HOyqXvu7L+FzsmFDdkFLPFjRbrj8OzQMkBCwG/FMJEY3ad/cGuTN/zw5POr8RfxpwSvQgVADKQ
+c/fqYXCKArqAG79GcsL/C+D9qHfuK1pxCdpyEmPvLhu4sFckE0hMI9mSOnb3Fv6Qeaf6m1kPcXB
bPkuOb+Wj5GVaNqRELUCy0JHxNOi7jLnAGFwOvH1Ngl3pB+Ia6hTirHTahUIiuMozSH1dO8kHk0V
N3ccR9pVaJF7tZ/8KamfIeSY/VmlFyiNihRcEofTVxQG4TLPwjZxW2m3nBkjW1s7pR12l4Q0NjuZ
CJpVOKhj+D3q2JKShmWBtydQ9wIH8r4qS7h/GZE3q2BwSrcqq2bVqmO4N5qRk6I3FS3+Cc95auuM
ECtZeiTn0R+Z3DgL2mMgjDl59BEK/XNk4sSHLpu6hWm8Fk36ingFMW+XlvIFka6Lt8QVpd/vskk1
1k2stI89IXuLTqhh6PYxWmDbQfMJH9S+05SQdJu4956HkIAETMNih2UvOKXRkW5jrbLOrbIddlNR
lBsJG9etuqmhXUxRYNhQjIYKGb3T4bkO6mLJNugiifSWdpPu7dYByuhV1tloGNMulvhNsJrAFAdG
Z4UlyZ2+gOkDK9DN6xZQCl6BwnbgYAXKxu6mbaKROcg4ZwM/h2iNOgXL6FVytnfdywCrYdxPyI5x
gGB8wMAN46GBhHgeo9ZxkaYMxEjPh1tAtqSGFeKg+nF8RY9Gv2SKmL1GqqxO0jLM7qJOViTTlC/Z
2EX/rVrfiCuCauTfV62z1+wlfw6zn6xa8w9+X7WEwOlF/LMtGCp+OxV8P0sIOVNcbI3jBEsQZq8f
q5Zk0MR0D6kBg0zit3QWtO8tP1KlZ0z42wr4R7g4w/xU9VDqGKwPoFrg1rFNf1ZMW8BTbRyqykGj
owxuCiiHnF7JnvAXsZGYlJEqsVfRuhp9FgsQ/NWlU6XKhbA6UoRBpWbWpQ/uwQZ2OsJ4qrXqDrqD
NT4bCh0YM/DShZg5jaREwW4UUNz8uuefOEFtgNVVvF4wHomIH1ZdoTjrCgAkUHz12S9hQpZiKNb5
zInsW4iV3cyObHL+W33mSbaxqB6LN8bkTJucgs446TPrJIoq0jzw0xoB6okaSGUr2i/pIAAjzfxK
RuO4V+exN2jLcWZcprw+tBq6c3vmX6ZV5K+cmYlZjQBZgR7pCJWRA+eYdPTRiVek/0wLMXM1J/wV
ohnqI4U7nZexSR5oo41XmnYXyjoEVxmfh+QRgZpyLhCwZQtIvmejShPUpsnSQ6upQ3hqNmIR2STN
wu5ggFozDbSx+vAkeyOEzqxQeBPqqn4DiFa0HmnNQBXtCgxT3BblIGfmqAFSKmpy3W2IvSpnLmnc
5cPFRANok9UyvhjAl+YFHFNnJpp6b3DTeJrCNc0kyLquniXwgWcMajUDUcFnoVEBKGgvQYxATI2C
gOwXB9nUFcOUYtNFUaGueLCzXVZ1aNFqWKaeqdhnoewxJKDsO4tNfjg708rWu9Da4CEJDEJfMvPJ
rzA59DWzEHQ8D7HW+CuvKb7SsExdIqVPEy9I0fsRloKNBCZ2+jWAHIa6vDmMAGTn7E6LuY6NXDDj
8AnwcFd1pXUiDGQXHVEYQQT+kxznjQz4H6eCjzEYrb2QYy/AZ7VFzy/QiBbqWdX1Qp51ZHSdjLoF
wVZP9KNh1HAnKmTnar0YDN0VdYwGPCK0oyodID08aAfcuOa6Ko1yb0raQUqOFK2aZ6j21G70IHmc
dRKNiuaDJMv6pB9SHQGdr60N6dnnsJnXSuq8CKU+NaP0Im/bG0/Rz+rCEu1CKMX5qITjjmPHzNuZ
toqB3iRlgHStRp63su3XRhn2YYKPRFqnY4Cm0oqCTTmMK5PxKp/5YI/ZqZGmj1On7A0tPE0DyA1h
a3hnmQ2MJTULfd0G/hUDXx81YrIDHLaNS26SHdBV7EO8FJHlLURsP/ltzxtohoehyzsURrT1lKZL
2W9LVzOTHVGzK7uqnlKiSntMVoBTv5pWyNKSrpkPrAsy1NUOWYYvEBhxlA2KaGd1cu+gA2V0jV2i
wU4A3OLGRhBK+/fG7FR7XMRObsKScswTzlNfi1K7BIm4s8i50dN0RXaeznY47A0ldgEAPAWmvoEU
uCL5tSB/knT1OLu0c/HixLzDaUIynDNeSoUst7QszsZyWiuxdAvuMT4YcMjUGxh+3G4iRQyWxTMe
7GuSu/EJxNGOY8KR3LdDalMDEd7lDfnWSonA87l8YqgXaTacj5zvBNawzCOFhXikYFI2tJ23SJHd
tIi2Zj2sFWO2VInw2bRbNwHfqEAojgNrRSwuWWMqwEI132gNzMqo9Y+ChPSw87cDms40V067biSD
M3wqW8Dx8UASS/oVuoPr0Y5AF+d6DdG1yWvutZcDftPIVrejiu6lz+6NEufUROSh5Broi6QnDphq
rurGXDMAgUIyXMrBmWNLxdJJAObmyDZTagiKOJ5AT8H/rq5J+P46Il9nhVtDunLrgOAhG5QzR+kd
gqftMFX3qtbQrLWvTLO4t4P60ieHqk0pRIrXUlUxhw7awtLDdWgW69obl7EvV4E6ur4eXOhVcJZ3
+iWn6a8a+YmcHBcqhM1CVbeK023tWlmrQXIVkbHYGNoNQxIEBoD7TIKGPKXb12q75lU8rx17ren1
ie4RdDaUK58QOQYp9ZLDIMRMKZ77Nr/nrwLthf5zrCXq1oiuihX07pj1T3ReUG0p+6TJd5Ni4ewl
ha0jHiBQ2CSCgmxncF6or0xrI5ruLm2zx4YOwkiGL2cToAbgvsl732a2sVOHlCGP4WCF6+77Sr3L
q+gS9CikmoG+dct356z8rNlajcHTaW2woVxkebIvsK91SnuVhNbWHrwDsMtdJsl98rSzgGPrImvD
dZqMx8KboS89DQz7IqqcU10bHgoTW2KFiE04JCJWJM5W9SGrjUug2erC1uqrFslSVzBQryYmQEZy
mhg+8VilSjqWf1bNC9WU349xsxeVsSmYfbfI+SLCr+t+LnoyUDTZTVWMJ5rI94qQwUHxEKoB6Uiu
aqpadxLNCWkti6knMBuovKJELxCdbqImhRZDeY9qpHmY+xxixl3mwNND7cVMEYg15X1cBTtVaAfW
W+AQVYzist4TBs97mVixO6naQ0APb+3o8XVaNSQMDfEm1rUjiuyIuRjiOqK61/jkt15sur1QiK2b
crfDnk5wl+9qoyA8CctfkB0BU5FKOZwM2fhSKNiZSYpsKgNlAfQo5ipwvDpr1bb+qgoU+hlUCHHT
umnCJgH3ftsp9kvXEbscqhu/s9ahOqwQvrH+1Mho/GFaD2m2Hxt/XzXGNXw49hpAoxl9hyaMXTIu
lZNMSJ512DyIOSot3yVKczYxbK2r4hmPIu7MGrlAMpx1EtVfqrL9vStpf9JK+dhrxlVDhciYGJQw
VgcH6sXHM23TV1UFNFk5kDEV0j7K40sF6M+vL/KpRfT/i5hz8ImktH2TNb0/OCupSvtIUw6D/aUC
+NU+DDnI7GUKa+TXV/pZwYt76ceV5t/k3ZVyj9zYyeNKwj4PJIMXixD0aZebt1H7GObmb+xaP/32
eJtQQzFWQpL18XICfpntJbl/7JTHpt2X/nOWPP/5J6JapljmMjro54+XIJ5vUB1UKMdOkhiwaWGS
JgGdP38TItAVzW8atj/5RMShcGhB4og+wJw7b+++wJl5J0a1CY9hhhlPB17ib4r4N5/pYyPl7aH7
cJFPjZTaUxrD9LgIcViLpjqNnGD562/tdx9j/vP3H6OZGKYC+D/C+DMx38b5tQcv8NcXmecw7zqf
82P94WN8ujVFPMZFl9bhcVD0BeZlJzzKsGaBezCQCdQH0da/ueLPPhasSbpdhokL9rOfLGYIFGaR
Fh6t8gL/h1skO8v7+utP9bNrMA8yMUbxHNC4//jVeYaumHZXRUfC6tETkhmQu31y8+uL/OyrY/iG
8k7XdEt8bhrnfWBZYThE3J+HjKBeToowaReOdxW1ewkzp/cufn3F+Zn6fLPeX/HTzcKmi61fG2Fq
oqfu6jsCX36zGMz5Mu8uMXOwDM2ClCWYEJq8r58WnzqXAJkGLT1Gp8j8d2yeZ/SPVsZFcGm42Spc
266y/vWn+njJb2/S+0/16ZLQUtMBxlB07Ex8vKgYBMhjkW9/fZWff3dIhlR2ToMRysdHwpwQxDaY
lY9e6bgCfKLd/Oa7m7/9z3cH1i1PG9F186Do4xWKWoQQZVG7WRx9R1tQbT6GEr50FP3ms/zsG3t/
pU8LHDL8vEIcER014zWwLwzvqpx+s7z9/BI4+uZQvHk08vHDhFpMKuXkx8csOxgYaIdQLERr/mar
+9krxMP24yqfbn1cdUEz+lwljJ8TBV6BsprzkePWjZujEm8S4zf36B8fiwkxTXapIkfDevM5e0A4
nlWkVp4cm25TVvRkV+V0+YcP2qdL0GZ7v2xnnc8XGpTJsZ+yhab4CDGN33xt/3iW3y4x85GZ1Dv0
2T5eIhqGVEk4aR3r5FmZdsiNfnOBfzzKXIC8P2wCBo037MsfL8DSaTHgm9IjdV7aAjmOdiSFord6
ffuu/pslzXOXf+/KzrOkxWuVPVUvP23Nzj/9vTWryb80nSMuSg4U/fP852+ZB/YxVjNTqnSRQFiz
DHwfKBn8CcoQ/Gb4MEwekr9bs/pfELZmxy57L0r8PxwozV3jd6ueAVUJXpQBQhHKNw449dPj7gB4
KmjaBudKbAscVcD/bAR0O7Nj+esqHeZuUzbUSOaoWJbrx5ORApcr6+hmjOJo5Ux0T86zSsgls0of
ug6czu6CfOl8fGo1qc30oKGc6B8MSRcJuE/0sdEGgNJgIBxbWjntiCOr/HrTEFwTXNkNaNvKwMeE
YAHDMskhU3Sd5kl3IxHqCzeBcnUVaNQhSNWjYF0AwZryJqm3yKLppRitdZtpHGEXY9R0t0Xq2CjK
jWIaXZlN4F+VusxIPi3sox53xYOeltGDYhTGlpFbg8SkS7wDqh3fXiR2FJ5NdUnvJPWmlBiw0PRc
Jxe7zFdTN9WjltBRKz23zKy7TIVJ7DA9Y0kwT9ZtW8UzUKSW9qNAez65TuPkEwf61gTdaIeG5Uac
KS8VDcAP4URpuAXcOj2nQtFJepdjnbmjWhoVOkrHiPBeS72Nc6Lu9YakEm5IvQwHpXtoQlRfq7gD
Bygj+p/ZimqW5JXVJHBrFwuAltAkt45v85+NReVvLLWZOJp30aPuZPWFY9UWPG5TcxZJLYNrBonn
jl4XPWJcvs1jhhpIXfm1CvfV9/K23OHKa72DHYroIU5qcT04bYJt1pwpY32mhslWfQOQMfkHRlYi
Fh9IL6Nj+2r2tv/qzEwzxHEe2fEBsLNw5p7VCgS0VCE6NLbD+p4UtaI6lAp6UpNx2X8r1zcBOUvF
v69cx+Tp+bVidXpLLvyb+z+ngH5fscTbXEhiNSXiZ84c/HvFAmbASgaF0ERhPM/H/16x0JxzUqPl
RyEtNXX2pb0bJqEkk4yhOMwh1PiznMI3DuvfdRqDdpa++aA7+4/EXLx/3NxIBuwkfvv+0GCFIy8D
+F03XoJphpzs+IdUK6NnKPYZeGz9Wm/0yO10xbuyrf6rEqhrwZ65mHQFcBmcYLSihMhbIK3Bh32p
fPrJQ2Kh1G6zS+kk/kaFarDpmc2SAYBHtbC+tHp4ZXbTXUBCKMHsIMZFId0B+hU5O8WJPtvCUwtu
OK/WekrEFdda9o3WLtD/BEvRjuDCGIG7vKFnTezcEH1AflLsv0S1fSbJolblcAiIw8st4pXowF6I
QFXXpDF0ZNh0x0FY+WpucSwsgf2SZpDr+YLZeenqZRvtGAOGi56MFY3Z2JoAwZoGF7iFFsfJSo+9
jRknqHn01NniY7+uHMZeo7NsdX3VFjVOI+wkQN/H3aThl2yywF4QuntrOC9or5eVGDDmpydW19wD
agvdImIKQ9Yc0uXRSxZmh8LFGMbXTs13nWaBnVWY56jBra9hucfu6yY20ehItoG8TttIWMyoGJGT
LOnn1S0rzpe2hUWUx+S+T0uIAm5ZazvIXRdihDbvG+alzTfkhVDclByEdJKcV9K5NEP1SzxMQPhU
R1sgCGOobvU3qZAPEcHHorDw0HYZUptW44g8WHu0t9ekH2QsMOpt2EUJaxcYd927KYbqvGiVvV9B
6qqThMCI4HHolOuCpKohGC4bx1yDfb1vleg5cSgRDRjXblWgaJ4w0KxEXX61xvFKbaH1ltI54zad
9pG1LDHxevKrVoA7EDM8v53WhYV0T0hyHQK69tGcWeNbmymyjEWV5Y96ZrJJ1aMLGftJtj3Pl1ZS
2c35iF2Tn7JhvXg8kU5FZAzKuhn0CgZj3OZm89IpkuNYoF8b2LT8EP49++5RUxEDcEgYlgT9BYuK
nJelEjC4GkmyXBDheRs1fElThgnNCJjyyVRcNmaxQmdFhz+tnBWt2OLEo6N5Ltr8dqgfAJvpvHMP
KR1WoJQAhH1ClMD43+TlOIdRVs7Ogx+GOa0eNjisMDu1vcQqqEWrcWbbhkrx1XgDRoBdaLCZBV40
rpo0LqebDiEXZmXIhzW9fxRTV5mnF/Qwff02lFG+klp7xWkfr+8omRtJIHp9t2QHj+gfOJux6Osl
W629pOGYnBD1bs3iRw2nn/6Qd0ZEk47XLQl4pMlFwNE8oGbApomKLF36tjNc2cVgLvIgOAzB9MJI
dsHY1V6ieFirfbtsY4CSE1TPVQZmkz3MJ8bdOh8kvOMipHFs34VGtg5sw1s0drA2m2YXwrFk+LdM
hvyYhO266BSw+Eq9By6BGLRrTiTCnfMkHjD7mld8uxqsP2iSUXUcyvbGiZ1tpcuMXbn/UpvyNs/1
+1S10L8xLIgSkipKACZrjhi3SP+AVkyohnD7nPde5yzQnvYMg5JTFakM/1aArOOcUDbGQ6GYRLuV
HOj0+Os4lTdFZN0WZXiWVPJLVdPQVlPrYDbOidnmKmqbgKTHskdE2PiKq3raF3WILm2RnXLzyCmK
sIM1sXWTdvhMpkRvsE/bwaqEeGVOilzieZ0IrUBi2vAyjbx61jRTM8UO/Wi3IHPxEoLirhXaiapZ
ewyIp8gHaKnTy4cXZqJ77Mju0MMU76SFvVCmGkqiuHlVAhIScqeM1k3rhIuioFz1HAWOYTtuRYbK
3/eelDE9RXp0o4zg+LVhfCYfJroacXK6Vd9vi1pmi5S5/NLyy+c+x4OvVCqJXWl2E9rmPiiK5xDQ
l8vQMb0esmqrZOKG+WrqegV3I7E88kZidWl7NstGv0OxDOTbbHHCszsUzbMjejQ5acKzVqdtbywS
1Vcq5hgaaD018bMVOvGa4VVTO4Bg8Vec/VcRfauIOFf9e0V0Bs2Q3so/CiJ+6HtBhBzfodZA9Ifb
GSENf/RDXUNBZFgwmQU10Syi+VEQAa6niwSC0ICXyVGOTsb/66E3pD1HN5AiKDyE+mfUEPn5AGeg
nbctk7x15POoEsXHcqjMS8lqEgVHtn7D3pZveHjDOmhwx5Gf+m/s+PgbSL4twHtD8Z0J8yP0uWpN
mCPk+d6cKfRkh21hreveE9zSSEXrmyXKng9dI0NG6KCt/Ik0xaNE+5uSsyGDonOh7Az0lyZjSkI3
qR0PkCnRNzqpSKNJ6gpFvsNwvRpbi/e7ggy1tQgkIXUtMpSFPiDW3ZZ+5UTkM5PzZZZ9Uh18MlNo
++tjb618W81Jl7FNUnGaVnk1wCxs/nv0vz36v2xjnOU/1ZW9b17QoUC8RSNJzJX9/Hh/f/J5KUza
GRg2NNNU3/oa35sXiMfAzOFABUuOGUXSFfx+FCCJ1KQd5ZAABqhgPiX8gRqWcPRPzQteLZs2N2Eh
gFyYSMx//m7EUk+0UlujNc99PZtOS6S5BSoCOyjlUhn8DmLL5LUC2goH8wQ9pWflCKNSwmraMHoT
gqjJmd2GasrY3+cavluDVpGM9Vvc6CtSEAVyqqk3Ehz9DQKJu74lumg5qb4kuSsG5F3sallRODid
YQ4XKGyJcwmU3F9bRqW47ZDdCRW5B/q7LVYKe1HX5I2WHXBVooZSZltKvfZa9TrKxFmVmfC8UwrE
Ub2EPIJXQZs3ba8gHCvdZ6V3qvXD7QjsEog4RsiiSDdtscM8iArALwSxoFHoxhZdjGSwMGDb1Eyt
NwGMHaa71HIo/LCqJAC6lLaOF8XAnJkpQgFFBDMNU2gxu9TDtrtvUCMtyFjep6FqoAUZj3Wejeve
7GDFtg4USnL8XN2ahmXcMPUHTTqtRoPhNU2vFbBoXB2tRsia3b0octiTtgN0B10ZnRTtZRiKHMh4
vQajvg0NdB2plpxGtijcsKpuW4NUq6jsT+uWZnIXYj2fcv2K7NZ1abVi7cWemypEvnmVV+yYefiL
QebnkcgvSWxw6RLvQ4S/AYS2RYetUSOEc2yTL5IqcFEF3bLRUeol8TIJJCylwj+R+FiqwiZ9xoNQ
RHEX4YbN47U9WuSO6c1ZqmC15OAEyBiwt+b7dy3WXKZ6Dok3ox4uFdM/spwBu3Ual/L1pGu7aFGq
1Z2fIxKbYmM/jtpV4w8rk1YYQG5tG2fRpZ91p6GhL2MrbBemOZGGahB2W8Cp2VaxF7jq4BzBA1gg
9fTXPNFqKHngxowsJ6A1azaBjhFUj2/oGN6mUQmYrDwoVCTURrEgfoq11U4i+jvkfVog4ZAQt6r+
oBbE41oYBbs+uRpig5ZWOS7ImgTLYDNKHOuI3DBVBHsgzeTKOxMVfd/fZeyHy0g0d4PX32qyvpY1
JAciSDbIrg9RbZDtiADOaAhIQvdC1lvvtlZcLMtYg9pP/pDetFdeBDYqp1uFysXf+bX0t2VTXrbm
9EDl/FgaOJGHkPRJJwpLMt+l5kq1velCGoJaDHk+N4MTRclPVMt5yvBPc2QqhSty7Yqp5Tqs5DVn
2Y2i58deJf1yCPUrurD20g5UEEeDcu4H8iy0CsXVY9JGwwQ1pZVtCLp/Sv1p2Majv207hNJKYKM7
V/B2gu/IMdxkD1E2Z3fONPxkmOy9o47E0mlIMNSpOg2Jc017sqE8AcKIbAZzYSr9OqnHg6ZJ1FIB
aVRVeY5bmoORF5zAtUpWpja8xqFzGUlSVUydZp+WDCAOp/Frj6mFNgDtB4750mU+hp+7nmHmFoBf
j4RNmL08OkBgCH5XyMorwhGlVm64JKluY394MoMmWzVmlhEm6uBYLc80Rb7GaNogOBHIUs1RYwac
R1ihXysyyPw83I5T/pC9hZORUmbNcWUFuWXqHGBm03akk4GTfRBy55PnspjmwDNNRGca0PORJLSR
RDTyIpAGefs0iXZBU155Qfm1mSPUCAA8HclUM5XiuphD1nScbgt1Dl5z5gi2ag5jI2RlZc3xbBE5
bdkc2Gb1lOAJgCZjDnPrAcCDnulvnTnorc2JhOnm8LcsjB8GOj+8jsM6ngPiCEjJYYMJUPhjcCf6
176isW3NsXLZKPeBmT4MI9+o5qB7wsQGij6/fYtl12vwZJI5nQ+jcIwtZEU64qo6p2KXj1Olfu00
HgYMzNdFxQ2DnqsvjaSpWSKycl2m1rEjFpJwdg0oRq+QCtGdoyEksNlEchwcplQyMpMzSLhT6OIQ
lQj9kwawre7aPEbY6NnDTvbGlSi8+8CCPl4l4Wvao7zyZI/Xm0HVto67Gz2jjYxWY0LcWHUI1P6r
kt6qJIOS+t8PCNdgBcNm/OcRYf6x70cEBPjM26GczMws4A40Rr8XSkL/yxT6t9mP4BTw/yqJUwCD
HebMeHYhMzk2tdX3KonzBkNOhjwcNmx1brP+QZXEYOJzlUSN5rDOCIf/41fhSu+rJIXZg1mW/2Pv
PJbkRtJs/Spjs0cZtDCbuYsAQmVkZKRWG1hKaOUQDuDp7weyWUWWYN+6M8uyXlQzydQB91+c8522
uCy12jSP7Rc18rRUPRaP3aJTHscB5ihpvW/NgIq34ukFn3TDDUSCp/M6DZhu6j5CsV1smhqKNrDx
POhN50LtuOKVlBgVWK4msFJvQNg5xRu9tnski+CjlRCGHYti/IbVqQX+rdgAPi1Pvpu1Uq1jrrLe
A5xRuclhNGdi3glhVWD2CLWygio2AOh3JCd2IX/nTIJQZ4T+ohevA1C4ucimLVu2V2XUNjFj1pUz
RjvH6SAwZOyXspjDopFPxH/e5bj//TTTbgyre4zwgG2ZRrpbeO/2KWIpzwiJWWhvZWKtTdGL48yE
B1hMH1zgtUminyoTDEU86zeMIJpV3CdXo66eFar1YXbF1hBIOAkeNEmE8IWi+KOrH5iu8q+9XaGK
RybH+2rsCU7OoseqtR+99NWQVaCaxlvreW9Cb09iTh6sanzLTLcI2NfNAVDIS4Uvlp2Y3BUxA7y0
U8rVrPQRxIHkpk2Mi75WLmajCX3ogAh1ddKprMYt9qlGp2Vp4DSkal4uyu5DAwFgZSlAD8kOO6Sx
HW1Tpbc3TZQDB+xVqB7jHZiTMwjpRLs4HWB06hgk86d6Mj1/yhp3L+pS54CXOIzSKhBJH/v1lLvb
zIlFkKrFsLaHcFxbPYYILedvnUnfiUjeh67Dyqe/tNX+pJLJ6LPeabaCCdaIIGyFtWivg75dEW+J
W0HOFCSq2BcKTnChA+7jQQt9WQ0H9qkXOAXYKnbiNVXENVHdlzJS91HqjL6tp1tmgpArgDtoY7nK
ZvuuozZSi+ie2K8P9E2Kn80wpGgfTEwbpLy4/fxYpk0dRDqDTad+UHrUU3kr7xQP0STvyp4xV5q1
MWQ3k6JPa2bw3Hla9Vm0SuEnVX00J++UmTgtumnE1VtJEkMHuR7dsToRThrxrAgXzWmChJrZnez6
fpUZYnzpQlJY1ZapkCEwwhlZ+tAzbcqTO6PTcl6BCXE2sGhNGCC+24HtAquEXVmKejdqeugblXqg
uj2aJQOlIk2MgGb9CidWvJ7KZg4cvbhIlnYGj4ANA83AsRrNi7D8JRsbAscM9cY0zpTpM1OxlSmR
uGZOuzamMQ1i9OKuWd0TxfeJNCNF02h+ill98lqP2WF+UTPp1m3NWVmtEq/tKQZzUTTXcd++5EQE
sIohymc+M3sv94XGkpjXXrpyW9MX7vSpt+I5UvqDrLqrvFaOxDOC1ii7YM7Go+ENo0/Xwuy3XDwP
TNFWvRcza++6z3rpAfJR6kxQnRdSJZ7xTYK/rBTS4qqxIfXCtc+6njqyxS7k56n5yKkL+GwSEORz
+60jfhCogJ4EHMiHVhEj9qG+38TzcNaFxgCcJbq24/ElBclMUY5Tt2vanChhmJOt2exs9GlNnMCQ
icebzmr6BQu9zsdYUvACGStLS/DQVTwSrs30NEnX1RheVMvawezD0XeU6AYOGKYZ74akoJ0xEmll
l4sXb8qvw7q+iCKt2USdmz8KSVkcSrKHaL9ZLS8PtpU+ICLACTXIbMOxajKEjF/HkqlJbxI2Kssz
DvTryayGXYNWK+ACuKpN0u2YbgeDRUpgrNKbDa1B4pyNStEtz+LQNv2syc/JLbpKsC6zaqfbImQE
R5bQ1uCBeN9huLFYV+zmsn9tKzhFXi1wcZR67Ntpo/jMiz49U+O+iEWydT0ytafq1TZ4tpucKtYs
lm3QSEADXVd5oTLaXomqeWS3H/qdSxdUTIzcwW/CeiObJqg4s626VIlJVgGCdtUrI90HhuWmL0MA
LDDMqYfo4rjuhC8NI1t1oxptQCbyMx0Se0/8CItws1hNsZnx0GAV783hDln9leROhHnG9iWxWtYe
jhXhmJh4ueHOx4nD29x8SM5rZZYB5L3jRHexBO0BNlKlXCmZfYcXdbu00VZlXaZR/TGy21+1ZvrI
LIylnFCWGJXyHBpGA7ttPnL/owVwyiWUfN+RDumbk96vM4ZejzBu833L6B0/VxPkpfGgTOapS7p3
2eQwgdI7LnuVRpe5Gff/vk2iE5bQW2/OdoZCeehAUl3lfYUQwgRNSD9PegcDksEE2iqWHHLHeUsA
4wawoyK/IQB8M1XutRYWzdqyYrA281iuGTIkPCt9uFfF9GIrvBg60qxIknEZdZPL6IbKWRJFLxTM
xIiAIBjTels1Fe/v1JekBGsryD3RWtGstxqcAAzV5MlUaXTSxr5Ue/u+Mu1tWOfjbo6Mz1Rl7GcM
LEx1XQCSH0uWJU7e4wpiZKEir14jQGV9lUzeqpm1J7sdLjwTVhJgDAyxTDaCeDKiIHUmSRBt+qIy
W8kSGWNaC0ldGpgODOwO4FeSMmJCDTOs1Ccwc5dG2F9ZynDfddhqG33JxCXYZW17Lh4CcFEsLMRm
QFTD7H8YggoTSZWhFJsU+4EwH20VRYg+ika5jYW8E55XrcrE80GLnGNdJEeyR7gYtVXDvi++6WwG
E2He7fuI2MlCZRlc9rCeAPQZbbfwhZXeb2yeJ2PoNmOk5IGelXuFymnRvqjYC9pXeMPLTpjHHq2N
2qa7xlalPzfJh2RAq9T2p60qt4rhcgkUzuBnXvbpkAIT6Ln+Nkzi4HGTrybHemsHZ4vWRQRlpJ2R
TFwG3ozme7Szh6goyMUche67ve2nhIpF4SuswnMKA3PlmrSdWp+e1ZYgJqlP0wtyZ/ZhQ//sutlT
hLwGEFl6q0EcW7FYvXZAVmOcq/amJx9Gai6cnHPNpqwq1w3xSv5koSdh88e3g/EQK6MgCLsyD25T
QXGbCKJzmBrx3H0Sa1Asjp1xHWXGhvnWYz3w6MZCu2JvIrD1GUfDTrp1aUFw67P6xk74HVlMMSkv
R85pUR5HU5QbYRM57nZvZCK1vpZ0D82IRbHo1Tum22fjlN/qjP0C2XKkOurrMDDDIPnQWHk4KUn1
6s9rElxLdXRX6gTywavVildt+uFRG0NJjpeB28dciDNymnDbiXmv62BmWFGSYn9XD+wzW6o8J+Po
Y4rZA42RpIXmCV9k72zVUXzaMSWdU41shKn5hlTzkzx97LFHhmEYxFn5ErrZa9r1J9NsgAJ0WhAV
4yYcSm5Ko9lh9YGXqa1Hi6Y9bKqbsSXu0PT2nqUA9E8vu9nwJ6SwrIKx2oeLMmI4F2O175N6sZ4N
+lmbagwYIkfPrvJyth+nKrHdi0axBt5gIQYmitBmvIfV8Z8e9OukHr3MX/egFy/1yx8b0MXq8V0D
ipTPtFDHIv1GNP9dA6qTHYornPZUXfwUSH1+m9Sz0wIn4SDz4cpxeK9vPaj7C5Idj78x/oXC+Ds9
qLGIhn6QGSLaQVFtLnBihv8oDn/sQQX3sWmRKnSqF3mMpndc9EuSQk2kgpY223DhtLL0D8K6f1UJ
X0jsEbY9cQytFeZUUsqdNzSBugQ2zPibLNyeOgcnU7/kZCf5ZgrdS9akPA1spNYNTsKMIAhJIERF
MIRLQESf6qd0SYxwyWn2RcQD2NnyxrbIlegImFDskuhhD6PGkj3hLE2qsuRRuARTTDrTH2h+24IW
TrWk49eEWDi1cdkSamEBQV71ohzwwBF5kdnTNhwzQros7yonFCOSmV9azB4nC1N2lJOcMRGhIZcs
jXlJ1Si/5GsQtDEviRtGT5tga7tiyeKgUBZBmNOAdx41DwbQ+qwHwbDWa1muelRSAdAszgALmkb+
GhF81uEJgXjYbvtGYPKqiLEbZyZhjkqSpcx2UDbXY9R5yGriQJi5tief82CoHHGaYnHuTx5JcWy3
w8w5lxmZhp60bxotsQGgi85XiLYHrS7Mk5vb+1IyXyMNBexha+V7sNEXNvR3oyw7v+3C5zZyb1P6
132iGDtzCj9Qd7NLx6fnejbLbvQelOpgKBXT3FVx2EKlLdTbyWWA5YzWvijLMTCj+hqw3Q6buOPH
FiqtCFWmX0HpQj490GSqCA/r1KNtYLszx8m0bkIGm/SSb0IrcTQ2GlRcZdavvUZz2VdmgOEJq1fg
/wcKyGcKZWQvIAT1Aj95WO5tslZ2bB+lLxU329euFYyLSGkwTcJHdSfddlSPzU60UYW8jAHDmWbH
75FS1WuX5u5srmNwi7nYw5+6bVWCvCkqdqZSdz7SsXUb99Z6cMvAHcrqULpikVV9VogHVuYswWEP
j3U7MQyek/teb0CSsSDzh7B+hNSorp12Pu/L8bwo1KWLSq9I1BmATUfEGVpHJuI8Esp9JzXVp49G
ZgViwI7Mk4MMqIe9YiXsRjDsVyt4zVvWVue5zVxF9brnuQ5Pg5rdeWOMyggEZ6Q3rAmmjp2M1iRr
kVbtJolLwgWzI1URkrkoXoPGOZa5t+sWwol0lPckTO4qZQI1o0TxKtXVdyOp74fMDZSIXGoB0uJl
EBZlofKEpI9WpoNANjJN1SY7u7Iz85mr5NBqzrszt4fJqi9mjdF0MqOUqKzTWFX6sRTFNlcbGjLH
PhhIdkg/BDilx9dDpNJbJ9Oz7txmytqc3EOdJBtvIDYsjBPhl7VymwwOQa9ZfgVRQmF7IBC+oDQh
1paR/3wZWxALaK4CgzCigtZNUezdvOAlkCfjMxdYI5mdoxryjgip8JlnJ3bjMG74resYRwemUdus
mJ89mwKuoymx2dFbWO1zJY2QozXnvZz3Xp28whQgyVHTAreQHlj09KbLrVdPYBDuR2LVy8a5j5Su
9LUi5CGmclkZcQdFnLNw5c35uG2/hNH8c+N+vXGZ0f71jXsSL+Ry/8mdy3t9u3MJ5WaYr/PRiFbT
vuD4vw19CeXWFheWRfq2ZaHM+e3ONYjrRraPG4D5LqFC/NW3O9f4BWSzvWCbQT9yVet/5879M1YU
g2XMTKjnkado7jIX/m473tikVEhHDY/C0+K1MeeZh1wDlJLCvOdQOi0zFWVBLZlpfJaE0xPty+zX
TvpmDAR3gviRDsDanGleY6joSmtYdGOa8Lpln17dR2Ig5BTsTEv/Hk9cl2CGdJSnhngxSXH96Ho1
FBu9tIjrbTkUSpJqynBMN0xO02aNYl/3fPRkwwZRJNwFVq0epxFbry9R2VlSE5udLgnaoxCfCvmK
RMdQtVpJOJAL472HLmWqvSw0FYOzH+YFEcdTxGafqO6810410d2tpXLLyivNmM9jor1xKZ2bVb7X
iPweExh4li3gkHD1QVAa+kBHAX9e05CqtXKZIgO7rkP30C154vaSLB55rXZethW51IrM1pOdsiqu
FVSGTX8au/akZNT/MmIONZkoAqtKrmPEBWjr7Y5wkMSYxGdmdDdJrt5Q1BWWP5DJdak02Xw0TJaH
Tb2Jajt+RMXsO9CgQiCLuK+B8BpVTOtGygpi1mitVy6jsD7wJqO4UWxLbmq36VZOA1BBcC6ypaS0
h7EzLmLFcHbsQNfK+DREcKiTmnmNwQa+G5Xq2kZx5kE6Rv4gGMADkqp1aqlEOWqzsRlsDcB8X5t3
rUcAdoysUzDu3VBwJau8LmDfzYLwAqeGhNdTWGkKxcqq1KPWbyeRftXr/DVJ8YdiEisND9xiAqRA
ICuVwvbHFzYRoVLNvJYeU43rjZFL/YVQUdeXAHj/5eb+x+K06Ob/+vy7ToYP0Sbvf3IELu/46xFo
/mKyUCKVRDVtfiW/dR0cjkQe6oSFcP58dRF86zogUnFYcszRDYDG+/EExLUG2JWX/b+QVH9j8/XF
wfu9UwBYns0BjP7OZgUHGPLH10mslzAtegNdTdU0tXOuMM2jn/dMtS3UwDPT7OT1upEFsR0ybUoW
KbaGRsNBxApeGTxMfuqrRlnJYlT2llUaxz5TpoChS3koQq+4QY8uT/1o1ufsEKs3WHzyTC9kdmNq
Eqp2lXql343OR6gnFLewNjcEUy9htrCqnhH1qx4iX1baQtbIRvJtpmuwV/PSeh145j4VI5mv9dZO
esAfBKeUE6sA1fV41OwmGPVUR+aesnmIybQoij681XH+XLMNwkelphZ4SkQCi8OKWhS3lfhqvdKc
khXHyuyZleirgZuMwdH0xbEFcWW4EkJzJUX9YurCpIC/C65Kui6spEnvlHRxgDVDhhts1G12RFIs
LjFrMYyxbDf25mIim3GDBM4MIh1Sh9vVJJgt94A6CM86DMsVQX46t0WxXBwIJblDlGa5T6akNAwC
msjMnmI2qEE1m9ezxmhqpy/XUsX91KV5fFaTdswAFezX3m0WjiChvNpmElbJACPmhSmPhZdPpfKP
WvArio4o0Z+cCDfJB1SlP1ZEy3t9Ow6+WIewO3o8c/qSYPrbeYB1SF1o0pA+OC8WE9CvUwjvF1yO
iFawIXrLcfDDJpwPoi+H/TI9WGYXf+M8QH/4w8WBdYj4CgfBLkcWbiQEuD8eCLMRF7FeJeqJ2FUY
u8Wcort5rqJ3nkNY79xqdnmeuCjkEunp57Lm7QJ/iq2Vp55b2Xaj67zvn9t29tEJUnFn8WMJpobT
5dooXVjL3L+t86TZJlaCkcfAyQ6d5bSriEUyGsMeZ0l5yxgCeaun5n7TkA4D5uyJpyFAYXywJh40
rXmZSTrV0vmRgWPjY7A/i60SgHLqsLVMdm3Pii4t50ctcnaS+9g3cVyPTvyUokif3ercS5tHTkc0
ipb+qcjyAYj3faZBqzN7a0OCzmZ25svEywA5N/W29tLelwS6uQnWB4MRIowjue+QOHHisZgtgek1
yka0CAWmwr1vpD6u6m5y9hCnNFgJ5iFV8wo+iLLDbcBODUMVDshpW5njXtcG6kL7Wtb9NW2kuMut
6SWvGXfajXsWxeoDYoQDSw+InOp4jLIabFvkKGsrLXfdoKRUGP3BNNs9oE7ifULrbNLe27J8jsL+
bnIt5tcm46TZlc+ZikEkb4xj7pgfhsMIHDbi3Re3KUtwBuLgtTuoXdgiB3utjtMubaet68p1zXKn
b/mZRVFuBnKKUnr2DA+puEAsTQ0dOmlFal5ijQcYgdNqNmu121cukT2d400Bcy2KwaZShbPmxMeP
2bZG573kQyP3aWfpXWBngJlWoyEn0y/oN5HjkXwRxVCCGcIei77BlFYZb2UMglkJTQLKsR6xCSEd
0JBqIOf2jYRS0/ey5nPJi1wRbRpMJUkAzmIViKzs2pnJgXAM50KJWXt1es3HQIVWKfFjPppPpTsC
RhqHm7rPYt8DOR6YjfWe1u2nPo0fcyem1eDk9xFjxRUtxlEdEDZlLWIGcvjW+HOMNcM8dg7sWAwv
25mxeHIzq9sYipmvrdB9mpbtCTV0ihtYvreuLldljlZpKjpyJ5PW9dXUi455hAzvKR/YN5BeOKbv
5tgGVsHrpYxg284HFGvbtKqvyGliFo0LpjZx+NoMOXJ0HcjvBdY0+yFcOLMWb3E1+RDNzRW5DP5k
AryT7VNpWTT8kwIsCkVHEvChxpXKRk+xYwXBZb5SlLilDxlxsEl+4yC5rvupivZZTESkXV7MoobQ
VH9Szgg/NweBCnXKxNs/nfaXTtug7vrrSvOrmX4pj/54tyzv+d3dQh1nYZzQv1SUP94tNmt9tpW/
4pe/1Zr2L9xFGCOIRiD+/DsXhmH/onEL8SYbJNTfBTMbDqL2Hwfcnm7Bjebeo9XWIZ3+eLW0/WSx
/XAVtrpF6udYH5NwedHb5LdqXUUU6bRTWtPw07i4UpmSomrGniGb7EFOXRXkaUdMHuJY2rLUV22b
dGc5hUHTuDJI2vaVGvS+SsfnWm2OE1UW3Zx7zuterE1iB8LauGMkuy001ONRRySaznzKaow3Wjd/
cOzWDw31ylNJApEuqHiRigd1dD5H0x43qaxvCj29c7TFwpbh1+oVZ14XHndIX/dBotVBkSFiZaWN
jrdSNkQy9XR5YisJUViZCCVWbV+cxTNE0YChGXpQhAlKEI7mc50PynSVysEdNoD4JHTKaokEIyJQ
rdEvLtlhHtp1GmVvU2MVh41DwhiyeZyfk7EelvSxbIkhW/LIPJKmiyWhDIz8e0dkWaiSXRYmLmK2
7gJIgN5WDs87K1Tp9fi0iD1zlvwz7r5nwh6U1eiR9DcRN+OjyiDuuW3PGrV8bfQ4ZfOZx5W6xsup
4WYvTP2qyZAjlbFD0OaU3arxsM6cnhHFiJtrVM3HEl1MkTgVs4axOldLpLeK461LB+xyVO/LvLpo
tXZbEAide87ZaIWPtEwYBjJjAgqWbvrSVPca7kE2hC2aom5EG2RXFPo5hSxfz4MbdcnZgN11jQAX
LKsWKohAjOJESsAtZtphU9QOVDvbOZgs/NA8yCYhflbR87XI8Xmv0UQcZ326Uls2lqrdNkG6mFRF
rd5E+IvZ0yIoE8apibyNMuqk0tpXVursw3zeZgORrOrcBkMX3XZucRq9YauPOleCOiDh4DdP9xKn
Vr83i/TBcqpbp4q3Urr3aOZx/Ip2Bxv/tsaiIWRyI4r+ka3kTiOSYUUhX1MDWEwPEmOLVMraoK3T
N6MzndslkiZ+5emq79MPdAOrQfC1KVNkrZFxEKakk744O1tjtp5JB16HS3Jx1+dHHH3XhdXU+4kw
unNupZukl6+lQgBEeyt6TfO9xruK4jSo24F85flM2Nq96qUSaVa6bROxQ3oOjZfLL2mz56KP2BQ4
9mYpeFYGEjGUjcz2FTwGzSRfvFCr1mpB62bPF1IdTmRFPei6PFStElTaGOiu9WrUKh6mML2Zo/gk
STFphDyPLe0+b1RtrerTpimzlHR55SJUvS2FHGG3nUtAUfk6hADLmUGfe9EkVyyZDnnOP9O8Awqy
jg6s2LtRfz4sdESzmOHpGsaZU1ngAl2Zk8mBwhWTM1LQ6xgzDyFJdvSULuokiymQsNRPTKe7LBme
Wk9upDes2b9sU8N97tySogSTRDUxBdd6v+sMlHz14+QAp9QLpG7StM9dvb92tQaK4CiReAnjMenF
Xrbcl8oQou00rwwwpiwJr/TSS/xpHo4WslLi5cttWAp37yFkizNnm7jZA0kv55Ha3jkASjGKqddd
bAZ6jUCxbA6Z2j9khXkjEn4XRT28mQWPmiqOuEROY170+2iim0+TYZfrzaHx9GteJGdVj/M4FgQ4
hex6kMbwqhoeC72B6mzmm6FVL6tckmqlHRQDJGsjlb05mTsVolEnmn0xy50EW4q65nzEgtbl81U3
ZIzbiuaImu4w1rxk3YKNSZvfhWr5nEFfprDad8L8aM36LK7sPaSV+6FNbiy3vaVPyhFchZvBitkc
uK+ZWu+1Ahb8jC4i1FHId+VZCcRj1WoS9mZ2SObyecyNG8gEmFTourWqUf2UzDoCbTZlXZ8s4pQT
x/38pzb5Wpuw8v5ZbfIGSBhv6J/VJrznr7UJzS2DJiA+UPH+gMxwbQwC3/6G9/pWm+CTM4D/IMnm
P7q10DS+bQLcX4irYadgWO4iDQfN/j/rex0HYBBfHX491gq/50EZ6VDi2B4lj4fLOhAhx4a893Rd
pwOI67HbwBBvDfjT5vAk0+JQt6O3talS8HWTdxBOURuEpasBYrfX7HIBEEyl49tqohwgybxYoT5f
EHb2Ie2mhQ6NHavOwxujV+xjOTCenwaj2dQjKTHwiNZpFN93hLNKbstN4rlnRaefYaL7zMbpXsaw
Jczs1OQiIOdq5yW4Q7wUw2lSGDX3FhczgKJ8uXxJYfSgTcAy+Ugd807aynM2KB9yWKC6IRayUU4j
PNbivVkOqkxVLjpmXgGJbJRBGQv0wbNfFyUg/nNb83OgFqsBdVpA/X8fF9WVbkdruxJ0wxNqnKbv
hnUkSJA8RskeqvU1F+XRyMOPmcNlKi9trZYIeLOLEjzEPKYPRUPIqx6+xaV1O1jI6dX0c4rMOkhy
/coF/r5Cdayuh6hlVdoh3e5RGvd5nG/GDs9h4xlNIOzppsB+gkZImjt2v6lv5LGAXdI7q7kyZ79I
WNy0IY5FpbPbAEzSLovNFpiOsSV4N722tFxnXphXq3QCB6EliP+sCgi4QKOKmkiiCnO1+gz9wXXV
jlR0SqVuWTvucUQngTC6ZGPiL971oTdl92WkONFRb+fiAb8XS5ucnQU/vmH2R8OWmA0TydXifrZe
vBtj7sNOILb84lrvvjjYBUTdd+xUjoJxiqVxYmrhxmptDfBSMvrtjMEw0qdyU5uyOhazntyxYb8X
XTLuDNt7zkhW9y3yh07STPVAqXsWTZN765VybxRwg0XYb3NgTzuhaXdKH2pBr0pjPaIz3SKJja4L
k6PaafXy1JYewid+lkY7HMd4ojLtEhQepsM4o8nHS0Sr7drtZX0bNcNrCx3z4GT6gMY1/qg1EjJm
c1LXiaddKORDo0nBEI1kXcOA1/U70Ydipws7v2nsJgfm7pS3mc5tWmtJjJqgvq3cLug6GzJHz8A0
SqzdaIP26EPmHqnRs2yuppMEdO8rSMX9As/h2kooLzpbY82fhEicJ/VlDGu/ieW9OwGWNkqioqoI
UXlketNKH01lj9ae8UiKVLWcmzBI3K7c4sPM3jL2QLu8l81qZhyTyXjcDcgJ1qLzZjMQ6AFWtoUH
QhpaeB5Hhnt0h+miZTq78pip+05FAkpaDGIDN3wMOr1sj4o7o3zVUGtn1jiv/7mPvt5HP9WBLb3y
hs30W9K+/dmV9KMgTHc1FtOq5SC8X1Rf35bTOJJQgtFiLqvmr8mD364k5xdPh1rAvP3X9/p2JbHP
YWCKHln7/7Bu/2EQy6fHMGXxPz4ow6cfu2UrR2yfhmI+zWgsSSBbXvffXdRUYoRmlP9R9sVlhRGg
/e//XD7Cb7ufhUpq8jEAXzJsxrrwZRT83fKbl6xdj7WhnVpYqwxsrDzBAvA+DLuff54fv5M/fh5W
YN8v2QGq16isLO1kLTAEcS6d959/gsUj9tPv5HeThUhrSr0HhnbSR2c1mHeO94mqhrkdy6thjT7B
b4enut/1yWWHJVxLPmDiRaD8q6uuRHuGqJbgCCtClAQ8ybzq0xuJ+Hf0in/zo9CoZX76lVLQfP+z
MBIlhK2z/CyMNbQ8Iusf+iHxK808SYbr5K9iBPl0cDk2/F/XTvyf/6iWiukPXwBoMMtmc4bpbQnT
/v4LKBEwdIPqTCdsLwTNaJ7IzzMEkJ0/1WZT+x6D936fuljdxxbnj7zWQMcAfUL9PqjK7Auroamp
WYxtukg9k5zfYpsXhCwbZzJUqZF0JdXuRoOYOSPz8DmHZNCUaboWttjXzAX0odlo3USzPG3j+TTY
ybqIMLexRcTbvBV4uQv9MpxTTP+PLbysqL1FIkfyYo4L1w4GNtjYHfaGZfkOhrcprYMMdDvxcIFN
Hs7Mwi2ZNL/XenyiRD/WKHofW8wZuBFoWsqD1plXaXpMx2I7lDoeKCwOtTEb68q77Uw7MOHrpAPq
SiuJzMBMGjdQ3QJxdZY/oU9YFQW7fM8K2yUl4fznv6EvG5bfHssF3vbDg2/+7nGRCWt7smzmk7o1
duF+Pu8ejC1+slO70s67HbFea6zU/rQx/DNxVmyqYHxS9tmm26pb+5hs0q/Um7+UEvw4tvvj48vA
8ftXjJnnvVMsL9kq21fMeWSALwjbrvpvjqM/e2V+fxz97sBzk2LOY5r9E869/HZ8b5Z8FJ/pPjjJ
n/+Iv+Sn//Yj/votff8QMCj9/lvyeGKE4eFWjBk2XmYj6jHUrivZQoX0oxOL3Z9/wj87AZFBgREl
25Jd++9+pYVdjI6TGzpRqkSMzq+DcvnzT/BnB+D3n+B3PzuaBGCaka6f2iFYjAJS8Zm+/Zvv4t99
kt+dst7o2fPEJPnkDYe5OevsW91+/vn38WdX0vffx++Ox4m7GlWOpZ/grSCZlAzirr30wmMd8eUT
/W9rVo7Jm6ja6rP7r+Ujv1X1JJIo7v7Pj39sv/45+qiWTMUf/kBsC3Ojq/5DTNcfLW6zb03q8i//
X//yX+ilW6JY/vs/X96BxzPO7kTy1ul/XAhYPJ9/3a7f9lgsivLjz9/vW7MOuYbJP5R0sNVspFU+
5K+VkQrUBo4lInrc3CQ9ft+sI1VhLazpUO+XCf9vzTqVEW9Ykl0XefvfXFLbX0jmv39+Vai/2sJw
55n63fOrDZYolKooTjMJ4oamrcyhslYj/Im5TCuGRfhVU3LHCSLG70cSudpr24Rk8rhXGDenYO/0
q1KDPUOCuWzrl6w3n4gSIQaxO46zdh555m6Ol9XmEoIeE6Xckoo+LPHoNjnpACts3/wSnb6EqM8a
puFiCVbPs7hduUvYekXqet9/iV8vLt0lkN3D4LWakdCi6n+1FWsD7+AyxvRaL2HubJcfpUayWkXO
u2s1iOx6Fs/ZEgLf29W7vcTCWyMe8TkmKj5ZQuOtyT3vSJE3SJPHhPoxmfORTLfXnLR5OQ0Vk4Bo
W5FDb1sAWyqS6UGknOVLVL0XW3cGcWNAgZ9lbG/aJdReaHjvpOdesjQ85EV1SmV2kcp0UytaiFdF
Jj5xmMpKE8qDV7CaqeYav0F6HosZvhUbVVad3Z7EGiZ8GSyY2PYI1kq959EpLtEZnZu9W13UzRXr
202BG21y6GYtb9Mb4/XEAnxM02RlCO3F0GIE+8rjYIYPDIg2do8L2GP2vTPy4hWk0V2tQIAo2KzD
oksvJsRAqOL7K3UMsW9mdnHfmHt7aqk9OjeqmEg7w0WkuptQhlzgFkK+qR/+L3vnsSU3dm3bX7k/
AA1400XAhI/0roORTJLw3uPr7wSlkpJZdTOHhl7jNdSUWCQiAsA5++y91lzEbZEywzCe2KM2c7q6
eOj5GAFAwE0a42XjaO1r8UoiMonREudDPXAfkgReZyKamVPOJhrGWbmJzfIwjsF3aihk6Lp+p5b6
jYDYY0O/4WiBBcU1b0SbqMIfHzfRjYBoXEs69aiV6LqnOrmj+HxDdIH+M7/Oo/R7UjQPoYVCG14U
/km+1LYKpJGyNqCoKqdwY8iyp6grZdEIGKjFqVfFvbNQtmpL6jPJ36Yy4JSiJ4hMbvsfCHErR9WR
j4tG9VSWuWtJVbZ22KNNneGbJdyMk+8ktRz0G/wGJtLvZcJJBve4Oi1zc18vKYbbHmOqiFOsjAXJ
jieIkQQtAU1qyoMILeUo5anXm+1TrBtHTdVusEPEGyMmTVSQlsXPC1rqRdCMnjVjDSsV+aUq6ltz
4MZrIzx5bSHsPIDYKUDVGbQbqzJvehSZo4L0XwqCnZEKpq3x0FMjmx6EmdU0jXFFDtPWrkbiCZK6
QciwzK+hsgBuaUnay/hF7Q5kIHIJR0yZ+cwG5vQsjy9wsUhqkXN3JlmH7k8UMEoJl1chnV+7Qb8L
p+EuzeiQTOZVKsvpZgwXDLUyNkhq+ofZpGjpMsNdQYrRPOh7kJfEPkl4YnptCO1CmF+5r/OeOEC3
rCqVqQOMIBnEjDy1p0wUTpMIgCYmJ86FnvRaImGZqw7BrZ7P3C5m+vNoILtr8KrK9Xibr2SbuoXI
QlY2eQ80UDfjSsAZe55A/v+f8krHmbUssIEBGRhzhRvgBT/alaWj6nmMQc+4r8DstCtvh/HwD8CP
F4MZJslIOgYB2DzFSunRyZ5kvNUcAwA+YEO52yvTpy740unK+ekB/qgr+QdTeUEmOjSgYcDXyBF1
GzA93ZYgg2o9Ln2LpREbqlfT+NxE4IWWLrq0K4QTWR3uHxBEdFdHDmHlVQ2cKFkhRQtrJdAiaaUX
lb84RqXxSqYc+rZoL/PlnHFlHmlif8+4SdogFKrdLAHJ0KyMpLQNngegSQ3wpGilKIUEMRBY2bs5
CxyBj/1ttTKXGuBLvSKUjgmmAnvGehbMISc0CCVY5UvQTSx0fliDf5KBOpEW+5DK3WNTm4qTpf2j
uvKfJHmUMMrDhFpWOlT8ixOFQpxOE+yoTFJ2TZvcFkTjLStdKkil5zHF7m/Bn9J+gahWJJVS6UwF
5YdBvx7b/RI8jUAzIuUa+ILN4e4Bd+l9DNQK2VXnMwUE3QskpFrJV2Ki/5BY6F2JgxR+bl7tlZMl
rMQsY2VnZStFK1aJLLegh1XZzWDJW2PlbUGTcpdZui00eJ0rkSsO+0ejAw0g1t2+7s6oD+1OY2Qc
GuGVuiK9shXuJSNO32hN/CjB/cpWABjOEMmjVXqyVjjYANjTY2qb2AskEbtdIWIaNLERqhhJ0hSr
4GARc5Uh3AEm91iApvIHJ4LoNBadra5pXZrxmJT56NPfZJDb1ct8ljDlb6KW+2zMi44RqXPjmHg3
1q990C3WRVKa8iIuwrIN2k7dMdI6Z01kmq+9Os/+MjFGjioQ12weCd6w0Ms16SRX2o7VaK8HPDpE
SNgNnihHaFQgukbFCjHUcDdaYYv79IzeKtwWkfhDmcUfDAG+seUkGOcnCMB4xk0DM7LIV+cztopU
OumUvU1xCpUijHxZRJ0KQYHlIdSfoikfEHV2iTvWUF+lFnmDDJd2EAhbxrkT8mNX3zpxL6nBTRoY
W0EY5XPcGBelmgLOSrm0STPxnp+fXVzKflRTsh9g9nlVPV03LTFqZot2SDEKr5jEdEMI3dpkB5Qn
1eNT0eEMmrJbTZ0dPdPuUTZczTUTXqyAO+aXXhNnVwPvCcaiifN7xQhbfWNxveqssdjQbWcwq9c3
KB48FjjJH9WGLVtqz0UEbNtYpG2h075nTnExLPRTcNt6OsLp7DYTgjrW/QyV8QJpWWcIPTESqXQa
9HEpvy70oCHYjsQ5Ix4j1/tMkfvUNNVxMjIDm7ngSrTEweU+s7VgU5NvQHAdeHO3BlZLzvzRfbW0
1SaJs9MosdWm0jEOugOpYI9aJT2NQbrS4ozHVp5O5YQDnGM4FBlaV5zzw4d8Ju2adN7dEu8btTnB
Y/CqUQZ5EJvXkVaxRwv6fV8Np2VigFHE3zJV20Nzy7jt8xEic7+dmxl/9aSfcgmLhJ6zEAqRL2ox
cAxN3aYlakpxOfSNomxCbcEGteiPyZjnV0oA4wa4hWALYyM7Q6QSkdBjwxxp3NhaXszAzgxAakuz
bYFbO42YfDNGahhz6q+MqlV8qxlKH1tGe8zrBmOyMh6yBNRiGQZ+mgWCb2E9p+YMOl4uLTMX9Q4n
xl6PjdzHyLKzqLaQa1ZKQtgEE6F/xLH8vz6P+T/KM9PG9vfz1//Px7H1gPR/H8fWbvWxj9v/uXyL
2+qv+tX89XenMpRdmgQbFAE7IQPvTmWgsjAYEEdtiQr9TA5sf/Srtb+RkQKzmz8wRXoP/K0/+tXq
30w62eCz1qggHTDuvzNC/b3HQduKYxisUUvF7UWWwa8UlXfd5AbQRot/OryEHC8QQsbqV6mBqr6e
696d+1SaJwplEbYWFC5Ywz60B3KpFK0qm6dzmBo7Eustb5LlpPGMfDpNyqSPzkrv8Bd6my7YPGRS
EhiuWxm4OLs6PPqT0RhWC8YxqE99I5johns4IyddF4iFVJGohY5YSQi72lGkThvFijEh2bYNXE1/
IqTFBwMiuyPhhn4TqbXbliN9Th0RRjHoVwm2AYL4sE70JUPQGBenzDS0TAS/yMelvC2aJfqZo5f1
FAljFdjJVhRcNPiqnJAiz/9yJQgdkhupuajcwo9H78L6XV93E58iJiJ3gRFiC1P0pFTSIZoiPLMQ
l2yQFTtlqH2EbMex1yXb6IRzHw0PWqrc1VZ726TLEZDmg86CQdVcI1uO1SP4CTdU62NEABLEznQn
ETRJHI1+YAuBU0qo+BCWhI5Tooh0qJdy3iOGea6ShAjXzNBtsawvDVDVrVVEoJzEb5GezuC+CSVQ
A1YqM5N+RFlJ6KlluTNyLhubtkyFR/nSTZPmg1NeDvVcHQbWoSlPtx0cVD/PtMaJlQUbc4VZPT7l
49ozV9TaDqPKX5ZmFzTxTQQY1U8KjbJTSHfNwjkrJAqhaKeGQND8tmy6Q6SQASHMov42D6zzM5St
DWIFb6p4VCcpdlXGwRx2CqIug91U1adRLdgVUbnaKaYp7Djs32GirZsjR8lJ7bcIqzWOMJbs5IHa
IXXvTjVbNdP2ZjcwpIdIIf5Q9f475jUTHKGeczgm08qOUi2+rgrQZXBrY20DCxL2qiTsrTSRfEbX
b+BhdovOHF4y7rtIWHW8um3ODah2c+1YHJfcvB6KwrMY64KOdFs6GbmObR0dk2+OnezUCj88+9m2
FYdHacG0XGmhg/32Ba/KqRQ7hTPotGfIdLXwjw4SCiYTbbgq+ThjXuUWr78w7RicH5VA2FrGwxS8
lOayN3Jc0xrJ7I2hcRaUEORN3wYO4X1ndkjr0qMmz1dhkEgbRU51G5P3cxbKzwpCUyw80tFS0S2P
6gXINfHhnIeXni1sqT2IwHfm1N6r6YD1np6sFlFiDogeIRgTejPECMrTHccEnIiD9FAJ0Z1p5vdC
RYZvMXpGWP2UjWlfW8J+mgiQbxN9XyeWn+lwcUyjdThDoL/r1e5GHRPAqARVJ+ILBxEKNoXZl1Ui
QJSVKjljvU+3k5DLz+VoGk+tWeKFnuY5gJYWpDdTgFthmjLJJYqE7O24i5xaSAnKzTqgKt3c27Us
IETntTgOlRafe3VBVZo1QwDJr9LXN0xCBYh4AbWEWQfmtwXjhBNR2QutrLtDq58D0owB31SD3alW
y8MMqYlCOjtw2AyZ/Gs3nUggI4kCtRMOlWlLUnIYSoQQVcrxdywJRqna0Est9UnXbxPuPIQUSllj
As5iKpl+Ciq0mtNCBZjq5TeVGD/o4nPEK4cyVNXuRPKZ+R3n1A/n8JgQFwDfM7hOV6jUZEErTBwz
kWs7EMTbQOcuK9ULOGIMncl2SLqfxAReMo1BThiQVquM2bOcwA3TjZdyZthjtlgtJGwawZgwgmsL
04ZHdGwDzZlnek2cp5Na/p7r3eRXteYkxfA8KIGvqV2FGBKTSUdSScNtTkdQF8ajVLQPWl88alKJ
33tKbqdsPhbWuO1qJDHCmDyG0byLR17RaToNQe6HOac8MdNvum65IK54niLtXCbqxlSHx5EiTBrL
fWwsgzeoFouF2Gy4G8RXpC/Qg4hISXQoeqS0TxkEns6Md2E7ocMHNLpJNP0Wayi/YIa2NiyMu3qI
950CkZUw4md2gkMdMFER4uIqjpduWybhowZ8xkaqt9VyxV1rcaGfTkrBt88j42j2BsDjcE9f4dmC
IRMQMlGZ6QWR1BbBH+TsAOGRnL4KpuDQr9v2GQ2dug9exS7d81s7Mbgqmwk3oLn5ugW+s0nUdp+I
wrbR9JcAed3AOVHthttANRzE3IuH0qm08zi6EtXpZyBig53R2IlqwqhviU+Wlvl1UN/lRbc4aVFu
h3Cot2SSz0cJfFAiy8e+iV/0gN5QQ78En0bnFbko2aWqjlfo0iPbbEIFolfzVMC39QTRvIgWBIGx
qOsVbgAFgNORh5XjjaZgjhQlFJ4wy/C8oF9xZxH1haLG2feJw6EjK3kEOHaWT2PU/pu5q5QgGDLh
s1CFIDv7U/KulGpSnheBcE6Sez19SK1vqua/KwGv/l7PvJ/Lf5iz/OkSa6X1rpKaeYr1FGULsDes
28alry5EsH5+jQ+Dln9cQxeZRUG10VYXwftryHI/g1CAhgaakMURkcFxmu5oCH9+GSQUHwo2awXu
4EtTUPghr/v9MmGZzIqRDuGlR3FbJwSYyauJ8b5Xr0aQZ3rb0KD6LwDpH+ZDZvWfHiW61/+xX5tv
r3/pQeQvvztI4ARR8f4SvgEF9MN4x5BFi5Yy3kBJpQL/10GC1xXXhgnIzUAuwr384yChrJkFiB0V
BWGMzD/7Hx0kLHBKkEx5bBjt6B8fTSWShLGjNjhHcHbb8zQ9v/tZ/uL1Imrtt6eSo4rFE6ngviQi
zdKAmP3+VPZBq3aBNvXnftFcWa5+zpV6zgI0gE33swPkjvMjdnIVYaEkFDsAQtumTtzeqDBWCXrp
k17vF0aDW4VQgj7y1Lb6LmQAAGTr2Gvoz9qOLXiJsos0SFoK8qirlUuYc1igx4YDjR9xo0UoLmls
zktrj6K2m9bFaoTEoPxav/BXG6BMWdRqeW3hrgud2gKAbdbFL1mXQStV3/p1YaRSDLE3RvVBWpfN
UDIvRoU1MGNFJTZScaV1ka3W5TaZRglaJEuwtC7Gc1McBlZnetpUbrJjrcv2uC7gGSs5gKLFaVjb
A9Z4hbXeRNlGilrxIqzbgMR+gOflAq4cHVtOiFJPbzisulsDsYXAXqLU6BDZW4qq33frZkPmwfWU
mvtk3YbCpXEk9qXaMF4DaSD9yEi2oSWQExW/dutWRlcD6aq5zcLkIrDXYXNxokB+btkDLfZCyC5H
dd0cG3k4ZQpRaOyaTQVydN1GS9V6SNaNdUmzq2bdalv23I69t6plBC9CslcF9a5bt2d53aiVBRvE
unVH6ybes5vP67aurRt8wE4vrlt+yd7fUwOM1ALcC0S3Bce5KCz2E/WCRd2glspmpI7QqSda6grO
WTfRWmj0VByGOpwiKpByHnch8tdoQHabU6NkA14HObvV1+KlS7JHJIIPElUNXkavpMox6YMLU/Oi
r+UPukPI/e1zyZdH5T75wrx8T6mYZoZMDRWUkk7HakR+09chRnbsj5Qna8FlcEKiAuMtABGaPIcB
KaJT2yUeLF8em/rnTPVm0oZUqeb6RnwWqO5aA/Z8Sr03UPeJWvZtWevAtSCMqAzTpEmBuVMsqoJx
F1E91hVE4zAO6Rzn+TdLAo8prMWmuRjaiTK/YECi01WtJFS2FKfUqP1arAoyY8VsLWCXZIQKnRyE
ntKWgUftaLAVbQ6/N9NaAPdrKQzACBCyrrQcoSmUyYcL3JHaOewoomOqaXEtq621wIYyPbjRr6p7
+FWB57+q8XwWgnl1QsTnaS3X60qHe8BPAV+4CmFU/yrry8hRI6OBFCqIbrfQlizWg0CJrr1b4YeH
SifUI5pp59bNoeumS6VW9Bn6CZevstI+5Lrdco5M3DDuj7oUYlhIq8KXFg0Q2mK5yyRLYFazyi27
usT0H2cXA7pCijukvV4GvnEQVG/aMj80gfJqpPWW9e2URFK+sSQ27jkTjkH6CyZNfyDVtWnTZSUH
YA1IFyfMIIOWXNyMA7MNWdYvamxySmFslqiOYki9U1bFwahx5TIJ4r8fr4sexmTFhIw1ah/WwRY2
IjET9COoFjJaGpEWncRMfEyZtCn9qgULMr+YUmg52OfauCPZJNBRWwFwDdTY+FaNgrxZlrolAaQe
8zvM1qM34GpSkMduFJS1UAkWzg9x3JwWMz0rMv0Xq72Watx5Wcupiznj6ptzWPKwTAc9sQHIyrJ5
uF9zEnI53/QkxmRO2/RQnccut1hz+v0o6uVLoXZY22LhJ1Q3+HI9TBsuh3qXRvOlVDIao8QXDBxd
osEv1Hz2Wfqjx6DmCnKf3RWg7TAwi9a+h9iyh1uHiF3T0cQr5o5MW2T2pXGn1SWFjppwAs+JOHRm
NUC3ndZ3ejDfmYW2PC1BQRBUDyEMgCeNmnHyOg51fiUOhV/OdbnJ+It2M2j9E1135pvmDD0ZxGXE
rhR1W3Wg+ZCOWBTMHHt0Xj7rAz46xtiYwty+ZegxG/u0nu9FLAxDjNmgrKL7PpPvzL62DtM8DbsS
zrZTBhnN4z5hVimKz8jGFYf2Rv3U65XkEKiz2NDhsUvHPeyiQHmS8fXcBrI2gQIndTbpxdn9fHv+
U/ULuUaXKDUsBv8ITdaS8l31K+c5mtwwKc5dmjjIoneM56/HpvU+v8yqRvm9NP11HVwnsA4ALvyp
COgMuPhhVJzzLDu1unzPqnRl5vkLyyXAjplJFACf7TBVXmam21aOQCPBK5eLAyvVEfGfnVjpdRT0
N3otukoEIxc0Pq3FH2WvD3jOSYRczLMuhq+ff/S//OSwX8hFUDUFDPvvv5CW92XcWWlxBpZuh/Pd
ijeJyi9kiB8yZCEIWcbfTzorWULjQf/9KhzjqzlP++FchWhaBF3d0T9R6QHW7BvDQDSnMDwJVVZe
FxbPoCXuRnNExTkDRVx9tEuSe5Gw9NcIc63bgl2pL4czLEFOlyWja01OaFGV4TkW4MYG2BtHmfdG
zzmQzGRU3mDIeE27DDwgzsIF4X3QSrobZXHqpp3yJpD5DPeq37Aq4fAnl3pT1oqfRDhR2IrWIZy+
A/P0g8ya18lY5/AALZgXnebFGGzDmIWtKI3JCUBSjsgBkwzS2NiJLBDNUhw+BL2U39UjfTNLCo9a
Xmleq1fdVpdGdyjZ4iRwgXNipG4lyhdNNApnWtCMSkp2DERGjB6Cjx3r4rMpMP41Rmk7J+pzpgBs
LnB6Mt6ie0ObaFEpPSZeM5ITmQjTd9o2HcETuTTtkdm+gkiP3uZM80W9zuHdRye5XDMg2toDNm7Z
xMvd5Jj0sRdJcNqX6VAb7RciUPgkH98XngdeyBU0QvcdGPjvzwNIsLLgz7ozjqNXxWpzZ6mG7KwL
NWrQNnqB3oE4tI02kj6ByPgVn5ud+FVIG8W0uAV0dWKQao+LfNJK84lIzshrsaB6fS+qO0R/Pb4O
mqF4oE1XLNV8K7OpO6MU147ZCNQjLERiXhZEjta3Yc7AT4oYki5j3wJFrjGp1p6eLyj69FdrFRAO
Umlsmly+1wkiUKGeEaskOXoJFrMhX8ZuRv0pMfXdGMjfdQO9JCO9e9PKtnox3QVWcjSGBuS3AgAV
kMVU2f0s32rDcEqT6LaOtZvcwAM2d09mmqo2daPo6nVPLVhDtegxDJkaUEIFj7cI3ciRdOFV4JnY
VJbyLCnCkxTBa62BCbuRgeFyQW8kTKUrqY0vApOzigF+GUIjwrhgl4gbABwHg2xcdGJogbPVBdXd
KWsQOfE3LWHy0C/earhBhaGv/uxT2hdOCm8REOLRKHRvLFUnYoa6ibGmyVZ8nVY0zWdzcUts1XoG
wLGioCn1kHMJL+MgWNdj3f0E/AhKYl59cUSEdj1MEriockiIl6QfdeaLsYL42pTC3FXDhd4hFWra
R0d0Yy4StseyxLQjxFcrMD2MSk9OhQP9fCcaw60pZc80KknXsAtrhyxBIpHDyYLR69jeiyavnF6o
ExQWgp+M5mFJsJpZ6GFGiT5+K7LoLrLkJSBLGQBfAbzbhkV3CMf6WKw+vK7LhEtWrSrwzNir4Xio
fhn/S8y5SoUGfhSTbVSNJ6HllJBB7lZyt4QWjYH8Stdcg1Sn0TwDiNZnr1S3gTE8VqKAzE886VrT
YJhSj0k0EpYAXvrQy4OxaYnn3hhJUPjjQHYpdcMWc3DrzDr9u4EqxChRbRnQT4agkb7Y2r54U5X1
+Pt+B42sObGqtAcyS6hde8qLaTMNa5f1kjYnmH5f6ILXJs7vU7nfVgblw3FajqKC0wUrQ1n+AEQ6
TAhKjkX4hBPvi43vz+0kHDk0lGQsOQaUonVnfPfNxhYYaAJqBcjpjNM/ntpNHMhrbHO5i0qE+ek0
EMUGV68kf/1k1hAP9KTENZbgIGRazp2RhJ8YTq+nQmGypfQPQlxeStG4zSjfOPVsula+nWjiOkWH
HqSLX4pEfRSirLoJe0YTWhR1fq716+zAprBwZ3KiGXQFftEpxiOd1dtqweOtaPteIb1YkQ9LOO+0
yrqMaXho2LYNIT2k8hptwUA/MjdTJT3mVePGWbAbK5LPM+CInZa/LuKsbbIxfK7hMTzKYdCh4lPC
L37V3we3f9/o3/+oa6vw3Y+a6sy6GgK0zub0Ei3fZvPv/bj/0z/w1b//YeMQhYwaOUznc2zegh+2
a+X+i8fiL56/d1/g19T43RdAXZ+KqRzOZ02+wiRp8zOJ0bz5/CJ/bpiuj57JmJzRrmbqHx69yWhp
Jqt8C4sEve6tG3Nqkvt4Mr64G/Lvz/janEKBYxBHRfOL0lT6cKE5iQu0hZV8pox5Y1Nz7jIvcMhi
tuPNo13Yjzt9Mxy/3aB8epjcV7rf33ij262y+/wLy2sL+JPX+tcHffezWkNsVVbIMtJ5gyNuRHe6
7f38OvIsd0WSepLP7+xJG+bPduRaTjW46rl4+/xTrOr1P32KdzdX+9BBRsqcmTL84PMTyCPXsDvP
ujLsS0tYgOM/apuj7uS+dY68aVvcatu7wAn9acu6Zy9+admYsm2cy45w7LeF314iMsvt0Hko7f4s
bmZf21k7hLvb5j73bj//6MpXD/6HClqQW8RVQsxzaTN/9doflVfdSQ6h4w4pBA65el6+L/2rt6Pb
7whbmDbJHh/3PjmHGzYfF7Lr92Dz8Pmn+mXw+nhb3/2gH8mgcVwOjaHzqaKdZUebZZv7wV2BBRUw
ts3A1m42TCp9sgq28guNNPfz66+P758v/6/36MNqw1IjkM2KhENcStcYx8MipOehJwTi8+usq8pn
1/mw6pgklJA9kc1namp7GN/EaTviY1fcWuxoRXmfX+2vb/U/v9XHw6TA7EvR6qQ/Q5nk5HdThdf/
2QU+nPmUCY68nnOAIiJVTugDWobz+RW+uDHG+iK+e92FvDILY+ZFK6tzi3y7kp+W3vzirnz1O31Y
3FopQxNrJN15Wu/KkhE4mWz+s+/x4QHry6XtizafzyOhWLF+zlPM5/nV5xf54ukyPqxKehAKM805
dgOCwlSrcNOsuyhKvzFIRUmQZQ5Qfz+/5F/eH81CCsKcRQSQ/fv9MRVDCaq4689q/rNJvFSJaPL5
n1/jL2/Pu2t8eGkyBIJCHanTWUsIdRWv8/yLrsJXF/iwJC5pPilJWQ9nkUWbZnSqZF/8TL/2x89e
/A/PcRQz9AkynmPOBjZg/T0miBNHBMySm8hlEmnnh89/tVXS9+las37rd6+ORP9P6uSIPeqJxnDB
qnoKubY9vqLV2Q32Fchw/sDW3Hwj2ea1YN907rqrXz3XV8qeUzvsfxdw17bYRP5XH+8vN/L3pcvH
JyduRlEKeOmky7qRCzbEW3VXSBs79VXnsbD3WFgOPxFukThyPx9Ivvpi9VqzVT79hT7c90Fo9ai2
ZmoJh8BkB2W5jL79kDk31lk/QuBwngkDtgs6tl7jV765Eb5Yob/6CMaHU5Ew9aRyjVV3Fg6lPeEc
spPvmgeq+9D/mLaVmx8NX/CFn+Gzspn89EI21o8vnpPf545/VNr/2iU+PCfpoORqW/BoAoHwSNy2
47Wq26Wbu2E37XYkiNnLmaSCRxFTb+5VvnEFecrp3Wg32tFL9sVK+etg9qdX5V+vu/bhJzEFi9lQ
wZJSu6qv+ySUTx76wmN8kOy3cBd46cbcVVuaekcy+O5dXEfcos5PvdvYWYuEfxQH/1UBr3P0r0b3
m+yvB/f81T8G9xCCkf5KABnXu4Zk7p0CWOaPmGqDCGaqvzos/zm4N/4G2FFfwRSqgXFz5S7+MbjX
UQCjF2bcL+Km/HcVwH8erKMwhswHjUnTuNr6Id4vhIYUSrg/tPIim8xW5BXTJ43zDGuN6aM8hRKt
ttTLoPoVeSEjrS+i5xziH+I+zwQYVkICNPp6l2jCZRECV2QGg2vLKI/Zig9M4uZhhidoWpXomO1K
BhI6d4A5qDcBwUUdPdVfKMIyMa4nrAmh3SxJJTIH10UEwBqaXmkSz2TfDEDK1MGPggjTp0bgWiF2
OA4lBnEJE0gpnB0JZO0SlOgCSZbf9vqYO8Bmz9O8tn1npLu61dLBmrrJGQbxfoBSbCSzO8r0eTqy
9lb2U2Nrjfam8z031WqYrC3igfsByJA4jeAeiuTNgu7kzkHJdBjTH5YpxJ+FGuyyKtEJVJ3csiBU
CcNkdtA0YTwGcQTLccjpHzTJfVznCMgygjYbRuTwkTZaMpOiuEBk0/s7BMOMp9L6fhVmVzVkRKiA
R3WKa48o3B4mZtE7hUArcVTFeoMtA19G3Z+qKiHkaS4zj8mjj0F1rxXyQ54MuLFXTMUIIGGhoW0o
hO6QsPt9kJRTWCxnLHTYwQzif/qkeco6KIx9uWbMVMc+MrG5EsG84VCJM2/qiAUEctGWCMmqLsFD
Jeu7pNOv02CmNTe2oyMvoVuruemNQvlWy/hIZLE9y8roqrXgl2JOtk98IT73oCgM31leMWjyzAR9
e1XHemebKT+NiGzSVVeNAtrTNun9GvSxoUUwE6xS2NRDUm5TiVZpJfhNIgAEKNsT0cgddw/hZ2/q
NwjCTkjPS7eZKSvVXKV/mpLmruDTszO1gxyQigYeFdS4YXs3kQvkDUlxCtXgZa6H2ctIUQ4RyDta
Jz6odf2S4Eh1JLzIc93pNMzD6xB5rDTRVw+nc91a3xt9hCk6tPyGrb4L6xgvpq4du769xPSwheuy
NLLlxzxl6dbIVzlI9ZAGYb0ZFiKBiAA6FQxx9klnPZepeNNpzXezmjdNTXLFEnphoTtVO+6tDma1
KB/KLDrHZbmfEiw7JV6fgtE3nX0gUUE/7vRA+4kqucf9OiqqH/f0QW21GJZbWV9OYd0Q586E0oPN
NNmjonNd1a8y8KckE62qhO24KFeN9twKaDHz3rovLAlyIT0xuYntvNN2Y6TYYbVc9Yu8DYZ4RBvW
X7PY0ajvHJnwH6SS1NVBHVwpbXc0NbJFU2THZR/fGJKxQthulwqRgN70Cgf9GLFhQxqQmhuFb4WS
4jHRiz2FupmZUritEdEgR4xMt2S8Ygs9T05RkbpbSLJq55wazEl4MtTiZ9mI33MT2yepKA9LwThI
IrxsqisVPxXmSbEJDNtIqm9MRSFQptEJUyzLhChe5SUw196opcuoZD8UUsZccRl/9C2zkFyfbsBc
o5MphhdkH16tik9zbJzMrPYYsTDunXhfTLVVffigj8VElAlMNq8yZ38IiMWumisrzg4i/jX8TQM4
2+CcGIyxYj3dlsSU7Q1Buzd7MpOZem0US72TRE1mdF+2zsIIC15qMrm1IJ8mXoMro7RutBkaaabG
gFXpGhvY2mXckhixFLIUjA5BEB6hLiVQ1orr16gGUd7NtLP1LHPJcv0ZWm8xsPe2U25SfhP2AWkj
h0WGQda8gmPniZHAXRyYmVQBoophwVg+DokP4duw4ySz7LkjG4t/jmBMdB8aSTVaeI5gXtpop4eD
KkiQ3kNp3mrMvqaCfmtegQgvYxycZrG1JpQEPaLS3VROm0BwUlM5RHhgmJgYLxBe4x3LMQnLKmmj
6uQJUX0rx4EP36LZhJHeuxO4ONsK2zem+vFGYMLRaAauq7qmtGdWiWrsttemoyq2Ccix2u+xFmtp
dUZ2ne0qabyE3XQjEpjO1HxGuWocytrakuM1oo+Ze2/s5R+pBQWtNQzc3kZCbjYs219lxH/rKZUD
xpf1VNMvf8ZcrH/zXTmlmXiVYHxRAf3CSPwTcyH/TZHAQ8O9JmtFN/hbf+ggjb/JeMrX+Tg1zjoR
/a2cooEr44o3RGSHkv7v6CCZSP52auJfMoFc4ObVqemM9aP8Xk5ZgcAkzjSrSzHFJbEreoPODUph
NhWPcaOYLt4nCUkt4MAsNbBFaN2u1qSfAxujDR5j3I8ZTg/KCsJTxX4blqHLYAptWFPiui8Y5vUE
tidG8r/snUdzG8matf9Kx+yLUd4sZiIGjgC9lShtKiASKu99/frvSRqJFCHN7QYX+CIad3GjRTIL
SGS+9rznfOtcxv2VFrAbIqjFJK7bdG4xuUKpbHAuQCreGqVdTopOGzjm4wmFolvPq7OpHHx2Q+0G
N5yeW4J1menbbtIIJmaZ0ZqjBHJmV0eMMXKcS7xxP+k5+QyJNgtP5TKk3AqT2xHm/bCQkVKWqv6K
QAXpOi4Sg01nLTeLCaVDQ1y1ljuXWOW1Ly5hOWSnlbiWXq0dRrLjT11u7CCubuZ57dwS11njXntB
cQ3F38IXF97Ry0lVlsGqxRYoim9Nu76jYIPcsD2S9Tzajj5Z+sKa9HQxZ3EpyC/HK/fR4gjbYwkr
FAcwRScYJqTpjhxhqUJM1ojpCoUNC4Q1wyQddsK+FcLSScLmKcL6NUhGNZhDTdhFutJgiMQIBCYz
xHRm1YOKIbVYrhGWNRA21leqtd+kOiyW2F8dQxwKi8y8CoBOE25wYa0HYbeZQV7aGHLG4JiiT5TT
Qth4WVj7QNh9VXgA1GdudOETotaZ2TiJXHgLYqFlJPyHiSORhUdBp3Hh4mKqrL7ocDl1LB/GuKBM
+CLFCD47wjulwk+5wmM5uK4RFzYUw52KSyNE+KoLH5do7RXBDGPeuD+e3M97HGIrPCP0o9qkUAbQ
qXhNF/fpCD/aauU3RXhWMLnqKiBg+epLiTUvrMZBcDSt0IEYgVYZFK3DFhH4VrKOci+rLvsqQ6PC
GrzaYYMgFmOkkODH7o5aQ0OM21qUeb+sNXcxGBp0pG75xdGhWgYmudSjnEfQuEf7YVl2FPQagy22
mZSVEn+81fIMwhkV3Wwtt67twjyulWET+0U0YzrgKnZ979gc2/mYtGeq380UB7F7umyjQEc8hGPu
rOrMeoARypsgOM1EdutUUGBXlwD/2OLy1I2gQmB2JoehgaCW7jvUJozpIfPDCbdhle8H/qJHY5Re
0UDr2/0e5+4FALZmpie1fN76DaKMDeRZ7hgfF2oqz0fZLJZeA+YSyCXcBkddqFYz2qdfwnxkftms
6xNfl4Afw0+3kWU3uslkPQeWajOro8Q+wOJ/vdMjQ6WgbPuDd4IOPRiyZotv4u9e+SbYHwXiXugP
PzIf//BN2gFklczygsbTnhzQs2/S1QMmgFVDNmlhm84jfP851dflg0fiJQZ04a6keGD9Hd8EzfKv
vknHYSJIJOD+CDiaOMjXqT7ISxBipZld9KVsLdJW76Bp0Clg6d0SpCzV/QFyFghlURLSDPlYjhMl
nTBPHq0gWM7ugsStTvG/BECaVlyHjakvgeRXZ13k5g95LZDSMWIzfmwNmFGFebDckTq8mSL1F1WZ
1OdFCJxKkk2g7CAS0QB0lRgCKDc9i7zcebAl/4rcyDj3FKYrVc/vDkfbTG5rezAQVMGJdKrRnNaV
b60AymTFxGqkaKEY8BqD2qonvlapG+Cz8Z0hx+nSMyqEWXK3WrfwW8992Q7mVulAShAiZMakbX7Z
cdNjGOlJgrx81sJgD6+vlOrtfVZ5vn6spO44APbMogbkb91IG91zQv8MdvWmgPGxSstzy8/TieUp
vX/thw4wE+BNkM7WxO/dme0QEiDorOPJFnCx2xa8CC2w2pmhenFwbEoQzUyCJh6+ha1aoBCBXgTw
5/6L2cXaepAsIwNjZKYLolwEghp4k+suG9eioAN8Sw1kgDOoBAWe4hy6eet94yQFUzkdx7Vb+ePG
DPq7UioWqRccSRbOJFFM2BIMqOmlvAPNaivNcBgBZz0GTjecRFmfk/M6EY4/yZh/DTovAPdVQydA
qo4Kc1R81q0AX+8ot1rEXGguMffky107MewSvF1Ymdc2IL1VLdXObS4X5lnvFPIMbSAYtdTayG7c
SoY1oI2db5LVSUdaXFuTvE/OkTuTZmXd9oetRGAx7+KiqGe9G+RwbGbVasjd9AqGYEHiPJpfvVGx
oE+ywtvejYB/hXp4Skck/AIMH8HeUQwnRmP2ZWx66ZjDixC1hbpd6JXunT0m3W0K5cS8yfrgWgr6
/MJvYzR0UViJZ6muA9qqKuQuWwTo6nnVG9XMKyH1mXrwraDcpm5QwJ3oMbIEfaddEu7Z6HtnprLJ
s3xcFIHMvGFemWhXgGv51xY/2WKqnX+wxRmhxXqLJeavflhiUgEdsJHFsKP1KLD2kwxPO2B0jvRB
0OdCbo/9fskS7AObCSqsLShdLs/raSmY65FqYy2GpqBlwHS+kAJePFXn4RP8PbrmUaP2VRVf0PgK
qK4Kky/sCAxNvbXEVKGYl5BD+ZyRRQaYDVhAptDpN/dl2MxbnYsnCzVkiGdTtKmdT27d+hNXaCYb
hvWtTuJrS6gpU12eNXWNvjJCy4w5rCqEl5GUYQZCaDEHBdOmQqA50pSvnZBsroR4c1IUq6LlHozB
uVZLqwSV5wp5WqVE9rkRAtDtAMm1VdnLFG3oEUtloRVdd2Y2zaTxIhIy0pSNrlSt/uIQ6aBplV4O
EbRiGdrTkhChdoUcNST7TBGbsJbcxQhWdx68aKERXlVCy7osKiSfjeNELkhnoC8fhO61nOvnPmWw
iazoxyPS2G3aHNuV+5A73XEAd6UqNLR1oabtpS4z//CwkZN8If6Zo8elrMkvBAe+PRur8lOAOLdn
AYrscq2YUuu47RHwhtyLDwI7exTZp4PQ+Fb4DC6i38GYryuhAt66EN0hYARIW0UjPIX3zRWq4aWd
3GJ/zkGKfmXEmVIWAuO9XRzWj4rjTJkChVUWNmLkiLmdRyp1ZwOZ8kbolQ8jo00mxHmdcQqX/6Fc
o2xe2eElg7X6tEX03Eb8vINOYA7f3V3gG+iiqxRrCyf6VAjN9Ciq7wxE1NEjgBRNyKrb5amqaN6J
H5HS+EiupUiwd1UDyhNR9spFSaxCpl1Frl0Wuu22VTtHndnkc7SOH1LPuvbc4bCJun5O0etoyFQm
WjRpg/an0AhbmGH9mX9bphm5m97alN1U5qn8sL5IqzA+cfrkxjzJFMGVaCUzk8hm5muuP7Oa6juC
f8vQKg/NtvCndVN6C37xVGmKeZ4x8SFHbQtctbpW2vIQVc8v+qBQ8mtQWbCN4ypETKrOQL+maQK7
sz8siipa6DUIhBEQ5uAz5cLYr41yYIlCYQy2PxFou0E7VL3sODJ0lIlQHYlgeNej7ij0QQr6JZ08
h73X3eOa3BsGicAa7hsvKz/7AEJmvudAn2FmqXWl5nT1vYkNb+WljATiFWhkBNmUPljUmryA8sEE
x+1+j7x+4xqODKA/nqZyYR1Zaf+pMstvdUSIkGfZpeUx+eVHlzD3rSBAMKYa1Ap5b4FbteAbi+Vy
YQPGBIau8+HgzrDIH7Q+XAI51ecQ23VwjVnjNGwrpASDZFbD56SZw7o3IY7o+6+2C/7aGW75ooFE
htJqCKSTtPAP/Qj2TMroZqRMvTBmTMpdhswwRnbKaLwNQ50+Hml5/VkpSrgMwFuroGbbBDemBbjT
oKBSCLmZ01uHnWOiTJPwhXyqUT8e+gbCQDT30KaBIxshitRisKWa+YFzl4RAfqvSh0vBUahaBvC+
JGYzGSNKfYV8hn7gfdXpXAIGeHorn0e6M9Py4RS48grpVfgeVbk8VruO75ZJPgkm8Kq8b8r2nIRz
VoX6jRx4MAYM5ckYQWmiIySpRxFdGkgxil5xFpD0XxuNu2EOidPZEos4nj2tGBZCXrKfSoWx1LXk
AqKmFuqTgIEyaic24tS+3px2VnrcSwADkiie6p7NDEAzqVG5J5uniCEfOlZzEZjtZ1nNVy71SPRk
rXkUxti/PpUYFMiuNIZLpsFYnuuyN0F2cRljAPOgPXPN8aYQgo9qfemqzVFZtJA4GJC5obY4jrD3
meVck5RVlkEOXGXpiBXWFo5RHxPVLWyi06lDhlfksiAOZYJNbb5qAYSKhMfaisnSCwUpkNzzLpXR
PnHsoWWESwoW5tgdyWaEsgGJM7NyiHJKgbPSPKM5hLD3QoulRRQPF6pjf9cgMksBclcmgU9pSwvo
EdNpJ9XnQ51f1JZ92wcMDCaG0Uz7xHDQUFfju0hzB8ZJ2+9h1cB0I3+Km5QGUXbiO2hSQSpwRadg
pgbld8Nj7KlR8jO/p7MejreRojJd0kafsMDzKjUuS8llMFZ2vkhm+bkv+mMI3vNJ1SQWaTwKkIp/
rEaQd/TkC513rNeidaUPK7cgfYdyshj0pVlV0ac2RtJ8xlywspDGuoNiy57HcrBSjYj2VpeMsz7z
H3SgxTMoWOEihc3UGcdzpWQ0lXDBm3mg1XsakxNXK75bCCRNnRqISmBhLoc+nVF4+pyF6kWWqFd6
hLBbm+nMh1T3UPVSxxMl/eG8MvvVqGK/Smb3JvDf3PaD9Cnvs5s4oEzepdosj+kY2UN33kaIcDGL
dD2mOV22JmwuyzoM5gZFp6UuFMFMGoqoZihI3vwf4BhV4K1+hicUMS3wshZ0OpBQkS2KGOl1olgV
tqIPjgYZ33UyuTMW7UUxpfMxddY3V9Up5BrzbFovgxPjkNHeZbbwjwxvGZ76h/8GuI8BrkHm/fsA
96YBVbB5H+CKv3oJcNEhh8lCJpCFXEwwN/9EFUAEDQYZtjHDgQH1DduzeUAAa1myLAJQBCRflcGN
A5ie+dKpm+vApQE//BLQ/inAJY795QTxYEoZMu+BggYB8y8nCK4uuUiTrDkbobhlfrP5StYE+i0i
yZNbeKXKGMYX2BqHzD0NSsQgDaWrpmXaXjBxv7Koo08q8mPsdjGrpODYb8LTwYIYhfjjWpajh1bm
EkpZy6yN1CXMfain2Sh4aWTTmyaVKMDLnzsSRLXS7+CJBHjgO/rCFTbYkcZFrEsSHFU+ugQlsx2e
hABBHn4CV/A1H7Lb1ofvKqvhH3RN81OJGndKBb92pM9uClMWFB+aFpy2kX+CZO7XKrOTSeBYF6Vm
3Me4mXnCB6OyG5iHcKcAF8u+wEfIRFOoUeiuhwju3g7Cle52UBkj8OpuoesjHdNQYzKhC2JYrO2H
wkeZDRTpSVXHN106gu1BJNCI7KsscB7oN1/QuEWcoWAcXfbCeu521Bvy9k6O0nu3zr64BfTyWXpP
WkNoH5XevIEddllB7Uy5ZRkwJaiH3tdYZc46j20mt0wiuS7P7jvFOY0k5HySAWLeXGVOf9ATZ0FO
wcC8Yp3UFSQAusvQCAWcIC8XQ9Yt5LI78hxn6cF0hBbe90APNwgR3GiQgyFrfpd4YzKTRVGEL8mR
S+SQO8I8SDULsCaFeWky++I7/fc4dOBZBUSRya48bUqyiURWP+uecaXX6IfaQXSje+r3RjVbYh3x
50bTLHStuUsIFaoMR2Ea5qKp4W1ymzo8ZNjuS6aH0QIdDGq8hjwJ6L8wEQjdr6yjmDtGC9liBpEa
wWFR+3ieiPH0JudbowHKALZhzho9oOgNnZaJdumhW+XHgZsUR2IqFQIKhtIJ9q8sxv661Fg0hV5g
wiF+9iJQJXLdY9ohmMWac+IMih5Te+QQDxXfYaLm3rwrx2s46HhqapM5tQtXbq5HWzsKOlrXlhqn
RPMu3iim8QCD1z1h4J2NCC0ksfk3WclKVMHcadn1tPPlYEmaQHNH8pdyKoUzyYrSqSxnjL/Jh4qM
UAM8ds4SybIB7UV7k4TFid1n7SSvwnzO7P3K9IZhpjb0lbykv4W24Aj5PgRnamYjTa3+VglCS7lU
iL5GMAAJ0eixnkIn3EPE461i1fG1WRR1n1WbeXMI+So/+MQ2uPW5WlteNzcDQ1uYbiKnNxaDcdmM
IbRRg0U3FkOJdmJdSK4fmJCaQmWkFb33haHmeRVzhCa6r7tnOfPlwE+aqd2RM+OFfMvxrv1CFqxu
Rn8Jzd4R8IoAiSyr1RgotWOcvY1U6KqxZDjaigD+oSmNvDiZVYMG9ikGo2H2xaEcaupd1MlycBrD
hYGdiX2aS6Z1L3sod04jcyhBJNJfcUZo3nSjgMlWtbwbubbi6ovqth4jA9qoQjQmJ6b7FRI5Xz+V
kfSUJrHTQ0/8r7t8cpd4j9+7yy8gzLY4S/7mxVkCwcPhwb6pQHcJuRHVlh91efVAR0fZgBrHlKkU
4WJ/VoOoyusUiIiBwFe8rQZpiiablG4ciD1Fof9vOcv34RZNY536DlVFGtEOb+J1uFWX1KBjNYSA
osbt5cimWW55U6uJPw2FotqopNlN0CoxtyZJriuhvMZQNhnR6CIHBCDBc4RAW6FrZ4LtZ8797KeD
FQJdodBbC2U35lu/OQ1ab9lAdB0J/TcHOu4pJQtr6jRudqMjE1fKnPMa4bg28LPzxCsARHeoypEw
pYcN8+1zr0VzrlKU20So0MVkRYehox3mRrPSEKrzChTreqFdB7tBcB4LPTt8D9wzZrd0kLpD9zO4
LaDoP/WFDh6Mz+DKIqYdFbbgHCC4i9ha7SxJj0RUD+S4TuDG73LLmaEO6iyZwmYu1bPusioX/Ysw
nqRNctIUVLAdCkE0yxGWa6ZOZsBv7edHcqOjbezJc9Vrj6JSgm/P/sRunmYZqgJyzZgregvJJI38
r0ark1I7/YRp989eEX0ujTSe576HFLUXXNc6mSQ5EvrxKdgl00OQcIR3RzKTjeb58aRPzSOzBPJW
j1DrO0bI6K1keAvf7SAbNcYvfNFwhpr5dSa5ZzolfxvOeA3GQD6J9uAO1YVUpe1JZNO4L2sGIAvG
WLXRASjgjmdGxlda5/0Mdd6LKNG+qVr5eeyie8mF/yDz/aMo7s/NDkFGCx57IJGUn6VOXcEVwFQi
woezznPOgU/UUzURyRG1mz6hqMOgwgRFgS+5N17qun4cFkzaSv0ogS2IGFdHumBq2kVkn0OaHWrf
RO4wrCyCgLlF7xSQ5ZhMS6X0ZlCAUh+yjI1EtSZobJrn0kDi6UIG4ITGKdHfETJW5cQy4FhRE+VE
s9DSiFvoOl1ZARFk2MHhYERwLDIeTPMZYmjDaKetXQIL8yIwhVDxDz6850ECSDALnQUBIY47Gtnk
oHJXjCsxRWBQ8ui44FP4C5aIVl/FaQruM9BXve2gOADl603qwwnh6vpSydIe6nlINcDwJpAqd8gf
yulEG9zNMKjLAH3QVWQYN2XtflUhWZpakTa1LOdMr4wYsm2D2kjXyGCvzJVkl/q5VQ+A1umGTFFE
hLi01K/bKMumbm2cyEGHbBfN+6ksGUcl/acjZciOCz1WVkUGNz5NcEgS7irFPZc6b0Ebo18QFh7W
qLKReyblYTVEOUwS/swu4m9+bCzsLOeqc03y3OrZ2ORr7ldHvdXlq0iy7BmZpXLuUwklHqLNBt++
d4QuADSgtnvWFhIimo5J+cwZJzHqpoQEVDPdvL8clApYH3CGo2IY4SZSVXcpFzXc1VWmHw6e68xk
qahWeZEeez5VkMFrtKPK9Ea4PBXpUM/g2siK/NKUnHIxRsORJHt3uZRoF2oIIwDWL1pJge5MfaCP
EgGw13uM0oX5l8IKve9VCk7S5xpfWmG4YSy4Vpk61+py8q//fPKfOJw/+M/m25ZuisHfvPKfuE+a
JXQrnhDnP/2ncoCmjwzxCy0VcsdX/tPhJzhb0k2VX6H7/RNzZR/giDUFIjt4iWwA8H/Hf2ryr8km
z4BYxRSpLWPJ0Be89Z9xXdYyoEH5vA6zO9dJjUMz0qRjFRqqCVl0fmlgzkXhzjnrIyi0MlBCzIzr
R2VmpJRd+gJpBcc4KUtAFdwIIf1uHrZdcx3bfX5ajtI0b2UdLq57pY3kmZp0S5o1Lrro3cpx7QUa
A/IsJ8dphPRd6iDRa3UI96blUg/89KbwPHRf8/zehAsha/LbUkHLVIdiYGJ6xX08ONEsq/QUrFa3
7PO+h80189NL6MEPlVDXLyTNPHbNzpnXnexOk05iuhjSZ8icIfx367XVePduYsOoOgAb8Ya8WNmp
g1RhJl2B4IwvHOA4QFeBocNlQjkVmfOZGyA/4kkAolJ3QNVIh33Z0R6qwIQevziz6wA8jR/dBap2
U2dOPpNCdZNHRo8KondbkhUE3PrGlHxwt8qSqtsDdjiF+8KHAKq/TGU6sTDMJql3HI7OjQJMCtpg
uialKt/kVqhORr6E2s/raey66ZS28HpoKqj4rOqOHjoFZLgeJgWJV6fLF3asKzDJBZeBAw+llMBd
czQMMLoNaf5dLvH0ZnqGPz1uh8xbaWF11Zj0P3pDBuJQJtXUMuNJaCKGZOXxzBrpshWSRIU+dVSA
Xk4dVxEYrDKZB2llnztqPhzGqa1OUJpYKYDegJGWG7VoEf4YLe9SalCBHQPj3lHb6KwY1O9xZgzm
BISFPAP46pwhsMBYcAq7jRvBSQM/QLRISSaOvCg79xkumMqxfQ5Ovp6aJn1xb8gg5wOIXynUDEr1
jCZyCn00yoV1AAROaRg5UAw4NfqWjpHSfDVz/1MUgc0vG9htVB81LZWJhMpjc2N0tSa0lD5ZAc09
N/uWAIdqFE0/0lPpUrHz78hhzSEjPGyK3p6mkVlO5brUVmZcrHIzOeprA2oQ7XxQonMy6x6yczoA
chZ+ljv31kikallHDsx7knVb1h70YYp64uYqMYcNGVtRJOGkkeWrZKiPZJxXEYVXQYDydBN/gYnv
G9q7GVzaChwbVXtml1EzAz9PICOnp4bN5hq6dNTGINdNWcxgoNE8o2V1Airu3ob8b1bVw+dcg4Sm
VZjTrsgcs3qEvQumrMgdZXpq8lkXd9989npuark7Tc2goISU32lpfuoQCZt2tghBjUAS5d7XMpzU
JUUkKe6KaW/hraOwgXorKqaDA69bOhgPtWjfFSpayHZ4UrilOg3yJJrCxgiRUfXVDotjgupbJRo/
KdDA8f4I3gSGsXNOS4F75g3PvLHt4CiK4LsgV0cr+6pytK9D7eTnAEXiadBL/RFCRtIqS7pyloKq
aSMAkcBP/Dy6ss3UYDpFp1Wla261ci1WGUvfWCZoSsD+2MxCDemLJFEvQxkhDhtEELWOapxImRVN
mUpmftCOW0De1jn1dhokHXTvjNZAa+T1l6Eq01U25Ht7VJ6nff8/QDg/v8WtOn4/6pvip4/yuzfZ
O7G//+iXXnLB7Qv9LWFAmVT1jed+fGOP0oR/XCdeI2HYPCA9qNlCFlBFyI+yr3jhoeMMpM/TjyWo
7w5w7I6AhL0Ol7a/+avNr3qIv9upD9wEgaHecRNU0Hcwoj0yYL359NTR4YO2iUaolovXnu6B/Csk
5p8cBIuhQXL0pw8qPuqbreAgICZAPPaoM4wgyD5sxevCjsFX9A9OAh/z521gEMDQ8aVgMR9ffMg3
m0DzBA1NuIqoFT2+9mETuLKbR03S1cN//9cTr7RoqOx4J4A0UQ0Djsq3Ll40g95shaoeEAuAn1L4
Cc96ZTz/2aX/T4zHH63a200QfOg7b4J1YNMJYzjk+VZwzX7dBBXiaUtgZfdwDyhrPl3TJ+zZD6P9
Nz0EWDkoKW1m299+eCyCpapI2T/dlr2wCFsug7a7caSdin/QIb1/sgv43bdbwRS3A7u647DlvPZ1
K0RuvLNdoA5NGm2IC8brV7uAibR4ATTkvOznnXi6rLvcCXroCiERZf/tmyBaCjgSRRGaWXu5Cfru
J0GnN8JMgoW3fHr9cimEs0TdS0eN4uXne7kV8tNB3e08QBGNIIbydP3fR9FiisNmH57nSPbNWRpw
RexsGSwwIjI1QJuw4fH1y3kgYuDAKIat7W0YvfMm6MoBfgK3KGIn8XoXMeiQeugaEcPehgxP8dwu
1wEgESAhg17a0yb8mksIH4GwIJO6T3Hq/l0HeffYER9B5xhaZQ7V22CByJm6sqU947z279MLFpjd
wgRm00QzQNfff3qdlJr2OFH10+HYUwep7rwHmiVYemid2s9RI7HAm4PANYCA1LJVCziceO3pVjxn
eLtZBKpMHHjr2UH+uhVUFxiMZ7tEH2gvowTlKZLbZRMoM1FiMgBQbs8iFOMAGijMJunWPmcRyu4J
lX7AQLqq2fpzXe1dFmEfwHxF4gntwl5vxe65BIRdMtJcwIuejMA7ZylKtI5pElft69XYvQxtHEB2
KfKpp5MvEuhfTaUoR8Fn9nT29s9nGrtnEYSGsK1p8u9KbvgLqi2KjCzbnp4EfffY0Tpg0p3YCHa7
xxcX7M1JILWmS4FtAFa3p55i95NgHnDQKSy+mMd3NoHUmp9RXtjX6/Ac2e/iLp0DEiXsPwXG7SdB
BSdiKAzp7mtrSkBNdo6jdUptQh/+6fWu8kh/TswkU4fZ0+sgSNR32wSNlAG7SBfu+ST8ugm06VSH
cRKhaLSfwePTG9vlNlCCFhPrVGqewgSs31u7qDK4rohy3L7axeda6C6b4BwoIkqyYMx+fP0aJqga
1RULgVFRd9nLk/Bc9tllE6wDwOWOCWPZb06CTN4Jek4Byy1eT4nL/kVMgtZgN8NAtU13HqfInivM
70ot8gFdG6r0ytOz9m8T3tEI//3OPeeBRAkv+bvzoByQOyiI7OxrtU3d3UWQL9Jy+nEn3tVdReys
UpkmnNhXy7B7z948MC0TtKv8DOb51U8SOzPVBnH03varBWHibjYBRBNboBMOsNRbD0ltHolsAMB7
axF3DxMgqSEMAqbzjGDZcgSoNJBEqj+qDfvpJ3cOnTkIqlAFJ0l6dIMCLPf2PMCvTuQsU5/dU5Og
P3mtHYIF6vA04oGwab/D90GFxKQ40977mkQJtfgdTQIlNoNBeArQPw7925NAHCEz5qbsLcjxuey1
w0nQcICmKuj9nkvw764DhRWFBrXu7OtJEIQEO54EeBaFcYSAcXvsTCYJx7gMM8K++gih/bjjJtB2
YuIGqOdze5Zc6e11gFgSBwIP5b4GjILQYsdN0GDIkKF6ey44v684E1aL4SR4NR+ftX+pg7Z778HG
OwDn0kF4P77enQSRYIn/UZvf51RSMHbveB4MggHVxACCYXn+qL9eCpOzAqRrb8/D7tHjY8eaMbkX
R/nuPBAyqaSSznPaun+X4h2N/N/Pp01RaYOdBqH6x9eWShtoWI7J3jpKffd8GvQKc5uANJ4u/vvg
WT7gh8D/7P1GvD7XPHYInASkC81WjMPLaMSv7lJllJXGPQCGPfUUz2HtDpsgkimDwEkUF7abRxCO
usNh2NsQWt/dPFJ+1lSVaannwOmdZaC+IrZpf0NoQVOyo6O0D6DNNMmsf1dkepymYtxaDAzwrP3z
EUIVb7dNIK0GpGOCYfkNwhGsK/hw8kkG6J6jif3cip0DaYH0o1lNZ+rZXW6JGUSRBRT4vqZU7/j2
/knMQG9SfNe/HxyDFJMqvGAX2s+TsHuZRZAO0ofF/P3GR8jUmlQFtda93YTdq46iRamA4aPT8Pja
gl8xQCzYFOX+85PwH9jQH7PHUz+IHx5Hk4NN9Tjp9TRZ93/+wstM7vsFXs0XPk5ZvvnNmyHfPK39
NIAn/vt/1g+oA82Cqi6D+1p99AGvfvriEx6f9Pz3zx/x/cPfPOzlc7384zLYlOvyHiKCxwnI5zd6
tk6Ybf7fmP97WP86HSkqPy//Jp793//19s2+8g1/Xj0P0s3LQq9GL3EuPz/qP108WT9k5ctCrxbH
hO68+ATO921vnJO689rTdbxu+Uqql7VevXfO++7rZ3FTvftKSUGINT5g8bQu139Ns6re9giKYTs/
YraJ/zrLyq37j+3Zef15/NcsKzk8L2u92n8c887rL8pNlW5bnFB458UP402avqzz6o1/xHVdNsm3
LH6o3y8vhh12fuurJN+UwTp+Wernuxe48d2XT4ctm658xI093pRb9lzgJXZ+18dB6m0xBMpH3NWT
dbTFhgnU4c5v+2RdVZtte/IRF/Qkq/7639TbxJttO/MRV/R0/YABftmHVwfxI67o6boMtm3NR1xR
sXaebbPuYhZn56/1dJM+ZPfBNuslkGkfsH55v3l4WejnvgvE1+6LZ7z3l3Verf0R1/QUxZwtS3/E
LWXpelNuhi3Lf8RNPVvnWw666GTvvOFnm3b9PnY0YLv/gMXPyzUm4GWhV1/nR1zRi3h9v9kSO4q+
xc7bchE3ybbgTnQld178KiB0rIKHLTsjGn47r3+9vi9JCdJ6y3EXzbQPeED612QDofa2B3zEVb1e
iweU6bp82GrIBNb6Qz7FLNh42z7ER9xa8SEW3ID7oLrf9oyPuL7iGUfZumi2eStBCPIhu3TSBNVf
59+CKt/2OT7iMovPcbquN9vW/4j7zPr1+q/Juvy23hYzCJaIj9gpnjFFtWKLsRaNxI96wu/VoR+L
Azsk+9f+emtOKABau797ahhbt+ZDLvOfpUl33pgsXm+LHkQXaPeN+ZOU387vvF5D9hyvm+rlnf70
w2KMbfd3L8osW/yw6EPtvPjNxl9vUzkUrY3dFyfGD+otQZvxEZf1j/o1u36rNw0FomRbXU4U3nfe
mU+s0Gy7q2L6c+fV/yBVsOu+fPk9i/Ofl95Wlv3R03tfrH0hcdv2Z29r0eI37uPNuvyf/wcAAP//
</cx:binary>
              </cx:geoCache>
            </cx:geography>
          </cx:layoutPr>
          <cx:valueColors>
            <cx:minColor>
              <a:srgbClr val="A1FC9A"/>
            </cx:minColor>
            <cx:maxColor>
              <a:srgbClr val="04D604"/>
            </cx:maxColor>
          </cx:valueColors>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_xlchart.v5.21</cx:f>
        <cx:nf>_xlchart.v5.20</cx:nf>
      </cx:numDim>
    </cx:data>
  </cx:chartData>
  <cx:chart>
    <cx:title pos="t" align="ctr" overlay="0"/>
    <cx:plotArea>
      <cx:plotAreaRegion>
        <cx:series layoutId="regionMap" uniqueId="{B096BCBC-0FCB-43BC-9E88-F79315DAC9BB}">
          <cx:tx>
            <cx:txData>
              <cx:f>_xlchart.v5.20</cx:f>
              <cx:v>Qty</cx:v>
            </cx:txData>
          </cx:tx>
          <cx:dataId val="0"/>
          <cx:layoutPr>
            <cx:geography cultureLanguage="en-US" cultureRegion="IN" attribution="Powered by Bing">
              <cx:geoCache provider="{E9337A44-BEBE-4D9F-B70C-5C5E7DAFC167}">
                <cx:binary>3H1rb9u4tvZfKfr5VYYXSaQ29mxgKNmOc0+TttP5IriJK1F3idT115/lJO2JZWe2AoyB99htUSTy
opb0kOvOxX8/dP96SNar6kOXJpn610P3+8dQ6+Jfv/2mHsJ1ulInqXyocpX/0CcPefpb/uOHfFj/
9litWpkFvxGEzd8ewlWl193H//wbRgvW+UX+sNIyz27rddV/Wqs60epvru299GH1mMrMk0pX8kHj
3z+6q0T+yKtMrj5uXyO/f/wjWaXrx9UHN68z3X/8sM601P19X6x//7g1Dvn44bfx7XZY+5AA97p+
BGLKTjgyOeE2dZ4+7OOHJM+Cl8sGJuSEMGIyG0Z+vusVsPIujp74WT0+Vmul4Mme/t8dYOsx4G38
8d/fwsPmbWwACACL3z9+zqReP3640yu9Vh8/SJU/va6qd/PNo36+e3o3v21D+J9/j34Bb2v0m1co
j1/tf7u0DeR/Afkc5ps6AMT2CSUMMDStZ4idEcTYObHhGiYYwH+N8WSG9iO8TT4B322CI0PXzWGu
blaw0odYx/wEYe44lLJnkPkIZFjHmJrcYhiuvAb5vXztx3rvKBMg30t3dMgntToE5s4JQQ6hNrbQ
0wdE9Fh2I8Sp7ZjWGPOpHL2F9hb9JJy3KI4M4btwdZBVbaITi5k25ZS9iTDlGHFO7G2Ep3O0H+ER
/QSERxTHhvAq++DJdZAfQD+TE4YtZjlkLLMxO8EAPub0RXOPMH4PT2/AvDPEFKR3iI4M7D+SQmbr
AyDNT2yHWiCvzf1KGiwxBh8LFv021NM52o/ziH4CyCOKI0MYfK1Vs65WhzC3+Ql2bILB5H5DZqMT
m2/0tjmS2e9iaj/Ou0NMgHqX6MjQ/iNdPebVQdYzBc8YEQ7LddvyQrCQCXEocp4mAR4t58kM7Yd5
9EATMB5RHBnA9+twlR7Awgb7CzPbRhbB+13nTXSEmti0MdmH83S+9uM8op+A84jiyHC+zB/zh39+
HZv4xHSQAyEQ+xlmEMzj5WyZBLQ2ptsLeTJD+/HdJp8A7zbBkaEraq0PYXU5JxaGVYresroIPrEs
WMIQANtGdzJD+9HdJp+A7jbBkaF7kasPf2TBOlkfwugyT0BIE8p/xjh3XCl+QkwK2ho/W2UjpN/J
3H689w0yAfV9ZEeGvbdOPlzlkEI5iOxmlgnG1ib6ufnsJDBMiJKZFBIYowzGu5jaj/juEBPw3iU6
MrQv19UD5GHcA+SqKLIdm9svUI8XOUEnJscOrHFznzU2na/9aI/oJ0A9ojgynGfJBy+vwLU6ANT8
hBHHtshLVtIZ56wAakh0YEho2Pugfhdr+9HeHWIC4LtER4b5fZ2sqgOIcQpJSoo2XtSzw4xAQW+Z
4BAaIw7nHFsjE3w6R/txHtFPAHlEcWQIzyFNnx1iSdsnjGLbsvAbvvQm+Mkt+INH2arpHO1HeEQ/
AeERxZEhvMz6w+DLEbEIYi/B7bHIxpvAqGPbsIi33ayp/OxHd4t6ArZb3z8yZBfJOssOoI3BgybI
ws4my7gllTdVBQ7HjFoj43oyJ/tB3SafgOo2wZHBelqn3/PkUf/zyEKAk3Ebm+YusibkHjFFUBr2
7Fdtr9n3sLQf4p0RJqC8Q3NkQN+tHiqorsv0IeQzh1oCSD+akHt6+uw4ypso6OYPhMo2n1GI5H28
7cd8zxgTUN9DdWS4L9NiXclV8s8vcArFBVBYYJkUP4GKwHrekuDYOrHAKLMgz7EP9fdwth/znREm
IL5Dc2R4n6+rQ6hp64Sypzj3M5T7fKhNkSCGctBtaT6Vn/0Ib1FPQHfr+0eG7MUqPoR37JxACBNC
15BQfvrsqfRzsIVtzkY1BVP52Y/sFvUEZLe+f2TI3iQ1bBY4gIR2ThxqMwh1vfjFO3oZnTgmh+wk
HfnF0znaj+6IfgK+I4ojQ/hipdT6AHIZjGwTSr6481wjgHZ0MAQzbbhscnskl6dztB/hEf0EhEcU
R4bw5eoRir4OsIbtEyj5AieYvVRij6OXgDCywfQ2MURFXlffT+doP8Ij+gkIjyiODuFKHmAJwzYp
h5lQpIteEhI7qSdyYlEMC9gZBbcuVxMZegvf1+ST4H1NcIToFvlB9lIwSB2asH75i5Aer2CITju2
yTgBI+zpM17HlZzK2dtIb40wEewtmiPD+1v9/RDS2jnBoJAhnvlWhS4UBIElzWHnxTbKU/nZj/AW
9QR0t75/ZMje5Vl+iIpNyk9M6tgOg3X69BnHOyBiDbstbBNW+za20znaj+6IfgK+I4ojQ/gSED6A
pQV1XLA94lcJyE65zyZPTDiHpT22tCbysx/draeZgO3W948N2XUGZbjyIPBuRDOoV8ZewpVjNUwo
VHMxm9IN8FuG9HuYegPjnSGmAL1DdGRoX1crqNo8wEqmEJmGAh5uv7UZCloTWLCBwh5nIqZztB/n
Ef0EkEcUR4YwyCq9rtb9ATC2T2xmM0bRW9oYn9igjG06bi/xHp72o7wzwgScd2iODOmbZPWwPsxG
KNC4m9X8Ur21Y3XhE6gLgRwUeXaeRrp5Ol/7sR7RT0B6RHFkOF+tikP4TWB7gWFtwj6JN21rqBaA
jRZ8VA0ylZ/96G5RT8B26/tHhuydVLHs8/qfl9WwCQrq8wC6n52AxvVb4DnZsHnZgkDmtun1Hp72
I7wzwgSUd2iODOmrdbM6SMcncJBswjhFL7HqfbIaQ8sQ0xnlEqdztB/lEf0EjEcUR4bwJwlb0JV8
PIxx7XBkUfpSCbBbCsCgVoAhaPk0UsXvYmo/zrtDTIB6l+jI0P6WJ4eJh4B9DVVbCJLDW4U9sKsR
LjAMVXzb4noqI/vB3aKegOvW948M0jtohCLW0HXuEMDa4P2SzcbVN7q2Ab4mIgiKN0di+n1c7Ud5
zxgTsN5DdYSIX0J7wUMA/pSBYgzKPJ59pJ06EOg1QDiEx8zRgt689slMvY339hAT4d4mOkK0BZTq
rarHw0Q7ocYa+rNBf6eXsq6xKQYNoAiIdnCtt0X480J7D2Nvw77nASdiv4fyCCfAHOKfD1I95D8h
+Ge6rjKOEIOtML/iIdvKm5yY0HnW4nQP8r84muIEvg387jATcd8lPELYz/JVWR+qlAQKSUwCAO/P
UGJY9NCt1XGeHbQ90v4dzL2N/3iQieiPyY4P+01/VtjleogIGnhd0IMCqnjf2sGOTzZ7XMH5HtV6
gsR/D1tvor4zyDTUd8iOD/UPF7VUH66/S1UcwrqzTgiE1iCuAnJ/89lJbEINKDjr0IRmj8R/J2tv
or/3GafNgL2kxzcLYKKLVfX9MKvf3Cj1TY3g2zugbYdDPzFo2fv0+WlyPLdcf5YB72DvzXmw5ymn
zYI9hMc2BzZNqA6RIoPKBkoI9IV8AX+nghRSoeDvg94f+/OTOXoD7236KUBvUxwbws+qtKqHKfbz
O49TgEJwBv0A0c9OcjsokxNoFwk6YAfld3H1BtK7Y0xBe5fq2BCX6+og5hzsi7cRhS3Szztm923s
gIsg8vl+U34yX2/gvU0/BettimPDOU9WB6lK2xQdQnHDppBlv/EGq9p0AOSdWOxkjt5AeJt+CsLb
FMeGsF5lUiWr+hAb8RjswkLQysJ+a5MlFLGgTRdBNtrjASfOvIOrN5DeHWMK2rtUR4b4PWxngaOO
/nlVvWl9ARuhIRTzYmzvibdv0mpgjI8iMO9gaT/W4wEmAD0mOTaU6xy21x6k5z7s3OIQRAe7+g3Z
jU5Ag2PMyais5f4dPL2B83iEKUCPaY4M6S9QtF0fxBiDPp9galH01glITx3koATRRiPx/Q6W9uM8
HmACzGOS/wMo/z2LW8+8Oejsj5/Biz35kvcfUgfNt20b4ib71zBAa2PY8gPbuvYFTuCAg18n6z3v
GdjH035sX9NuPePzI/79SznMEXRvH0/366Q/b6VXs6czAl+dUPf3V58eH842HJG+bLLY88J+1Xgu
H3//CBWhdLM59hWym4G2tmj8ylP/nBnbhGs4Q+n3j08nDiIIgdu2zSBYatowZrv+dQla8WNiQQgd
duNu/K0M2gqHT+cYMuhVBRuDNg1BoYsgUKm8frmEEYPWkqDKocM7uOa/znG8yZM+yLNfL+bl5w9Z
nd7kMtPq94+wS6x4/taGWwvB3iPop8Oh0R1UTzHI0cH1h9WnzdF98Bb+n6rbukztvr1G+U0VmLM+
Yt6rl7LnDsDpqztsPEVoBwFllpADgB6o0Ddg+w52y2Jas7q+VmZ0JtkXA1071q0yT7F/0zZXCs/+
/n7QCv2/3HHD0atnIh2v5ICT+joqakPwPtCO6FVOUpEHubptq5yfNdoqruzY8oWy53bUl7PS73xr
plPNZlGQ2X91kNVa2jRsRF8WpodVTgXl4YWVJ18yTmK3qNBjY8Q/nM74MxsAAUxMwXIzElEAhzhm
fWIJSkI+qxIjFWkgg1MztheqT+Qc9oTReVDIfOH3XebKTkaCVTUV2YAq4RN5Z7TcLWr5iTfNuWPR
XDDZXBilDyhFUqQ+L0TZas/sqejt9tb3k1b4Bj3Nc3zThFTAEZnLDNVSxFFwnjtY1NT4XBk4EE32
VzPQm46Fpw0b1AxrtZDaXJgFPwul1YnQztu5UVRq4Yf9ZV6z4Y5p5FSisnqV3eVlaJ/aZeFGOCtP
Szs09O1QmPCLOq26/DoJzAuNMLvK0sE6NZUevLSm5fcY8Qvbbi8NM70omFx2cXtZOf6VgeKrfrC/
4sSxRWkYjoBjAecVkQ+mhR4TI7dmrWVedoV55hPqNXFxof12Vtf9sqfyBg2lm/mlJ7v+ou27i5pX
uaeHFLmB1Z6rBn0tazIzzTwQaTZ8tpIuEH7ax1eyzm6yWC9q3l7FQ3yG8piJrrCRiHXVirLjmVBN
jITZJzMVsc+l7isRGSiYk7Sol3Xd6kXiE3XLZdlfJH1uzRUn50n66BjttRnyT6qusMBhokUYVnNc
pGd+Im/qzLhrm2weGgBL3iUzLh3BUv3IwnoQ2I5uSdDOnDqtRdhhD9oYembU3+o6D4UqGtduzUVb
NXNk+p62uUgx8vI8vxsy8yb1y9JtO9UIncTNp64PP9k+XlZt7fGC/2nGmdsxq7ovkEHdSFY/MtrA
bHIWtM3EMPiJMJHp4rhZozY4z2rbK00cuSDBliSNbJdSObONVmA/uAllc2la0WlppYsOWbOEZW7d
+edK5aeV1Qg1aM9SxhXoOI+0xhIExW3PAy18iZSgpj8vHfrFrJRLYIW4ZZy1IrOS/jRurWRZJdm8
kEEtaG+cxWq4V0Ubij7RV7LK76IGeVHUwLT2I8etOVk5dbSKGL/MyyQSXdTGbquqXviqTV3Lb/jp
k5h5UUYvcu1Zkj7kRV/JIHw5FPfXj/+5z1P4+3S+6v/+cnOm7v/+tFjnm2yHGn9pc59f34LbvNx3
o2S2ftjRem/otedTe9+4+LbSe626LCjUeiVqd/Tda9Ph2ex4UiFPVD+VHYYSoM2pBQja01vPauuX
soN00aZGG4ISHEyfTdXXi7IzIdyEN3tg0cbegc73oCJ+KrtNHwoYEMpLOJwaCM2+3qPs8EabbWk7
B062gbZSNkS+KJQsQFb6tWbQA82Lsq67q6ylzqxp/bAQOY1Y7MasbW5tw+rPoq7J4hlCsf6mc7P5
HJuqK4VysvLrq7e3RzFujqMdcwPFUHCwFvR3hzOLN375a27MrC9iJ6ybK1Jm+CqIh8wXNcvt0O0a
nTuiac36G2sKQ4oq5bp0y6iKQXgNipkubGDKHh2t0TWMEdYeSRL8ebAMjhe9bflr3Bu4m/89x2Rb
s4IOh54RoMzBZHDAXIHeEiOOJQsB215f0c4KAs/uhuRzA5FEOtcMxJ9o+g5HnmQ+FwOzeyn6GNFF
2lQ99qom149hpxR2pVFYnoITqUFKpSFqQPVZcTAL8ii8iWvnLFVOqDzYg+d8UWF5Hiet1c2kMuxL
WYVNuvj7p9qFAbZyIWgrCGcqwPmETw/9ylxgvRG0RpGoq0z7zpc84JgIMyYwNYqs7m7arnLuCh8n
f/79bTdz7fVchLb+cHgto3ByGhiahG7YenVbC3WBWaggu8r4gK9wHNZXmapcyf3wy9/faWNhje/k
QG0t2J+QsWd8NM+KzOyHsgrzK14gc1W2eZUsfM17IuIinKGyTgaXop7nbkStNv1vk2YzKbZvDxMF
DEwTToiDFqzj20MUWoZBlsorVsbWKo1qaxUnGx6sIVUzu8pz0SOAftEmZUtEGedsrRNHLVunNy86
m1bIpW2Ux27EsvQzrQqwAkLe9+vCaAoPGUPKXMvJzerUovZQi79/e5t23WP+2UZsQBYbDg6H4vRt
oJBdW5ll+cYlrv10JSutAoGNWGcmqKY+C87aUMbfA+4UF91QhnM7NzvpEtywH5oNQ+72YcBcM4+a
tawoe2ysImRnf8+kae2ATE0Kk2gT/IOaWjAft7m0Ky5RFWp6GYEl5jvc0044LDrdUWeum7p2q65E
t03aW2BVhCFzK5wtFKmKRWIWxI2TMv1UJFbaCZa0wdc2SvNlr7QWhVUWn20Vc88vM9+t8wjsT6lp
BPZmpLKrtjDUdWkMdBYE2ImEMfhZ6pImTE8tWyefSBTcBH1GO5HUrLzSfnmvSWpQz24IvEjZE5AN
Zj0MArU8ukhCi3/zUW2ehTbHF0PQNY7botBMXZh0cmnwqk9F2/PBw61leEPUPRSq1Hc1MlgoWrDf
574q66XpE3JfhriNFz4zsBRDGPvfoZapaoTMSuOvOmWpVxSKLOM8K5a4dJJH2RQ2rHuaxnfS8Tsm
mtIMziq/qt0e3sMCm8S5Ltu0m5ltVc4x7nAzS+CU6sBt2oCXbkNCf5YqWnl14VyHvhEgD+Ncn4Kq
Ia2bocgWXLPkzy5F4TmpnOLOotpa1E5kkLmy02HF7byaKdRFw7yJeTA3ug6tiEraHyooCssdiEa1
yALSBPNORzksjrad9UFT83mV+6GXaJqeZvBVAeIcjGG7SRsmIhVFhsv8loGTYnWDMHXiu1QbWbqo
7HgWmHWPbluKTU+qCiUigpmk51S3jlp0lHUXdjwMiX9bt6VOU9HLpM+qx9APCRm+qdboWBoKpwJR
nj+QPo00reCEqLou0JWOdRp3Z44sh0Xj1NpfppWUhYhIkt8hZtBl1FNauzVg4IO/hZwO4Eo59zLf
B30Itmxbzuy4DZBbJRr712GJbJafxj1rQ6/vEkdf2EpTmFGtn2PVujXowrlthJF/3cDSsQO3BAMY
JhyNVTrPElk5IilBefmzrpG2a/gQrrFE76PMhEPP/TR1Q6du/XmbsCSdKR+sgrmVBeng8sECiZmR
2KzdNKyMRDSqD9SNkkaazvJA8h9G3TCJPJQTvZAmr/mVZfiBf5ZRppkVuVmnyqE/VbA5sQpnRRCy
dOarZijnTqUyOe8TO+1PkVJp4VoEPEaXdVafLCpZSsMFWMlXo0gH7MGWqTj14B8yrpMIGQpeeZZ9
jdLUSZe0cnQyi0NtfxpqDU5VZOQEn4dtqFgmWEhCvfCrpsjuQBnTsygYSDyvwfHLZrlOgmHGcTc4
Lo/6or1MeQ9T24ClUnk+xvVZRS0r8QKfBrXHsgbglEyBfZINER3WSQx9bTwODKQe7dOwXGIkzdNA
sth2SRyX1JO59L2h9mNLGG1VODeR30amS2UZDSItosE4R35igt/kBxaw67BihvtwyJehxG0wix0z
bMXmewI70gHnowxo6XatNAahO2n8VcHRAb0hJKwjcoWHTA5S8MY06H2ftKS+sgunz73MKfWlVWeg
kgLFYiBwUgpvy5chzr5BJCELz8o+Tbq5aq1BnmMd6HszItbK6vzUFxzD5J3XWcfoTNmDBOZrHKVe
QstYubz1ZxLL8lvStmBZREHU3CnLbr8XVUjBA28Df8ZjCxGRcR/GsZI86uZZ1eCroSuoeau0he+x
NuAbrW0o7mrcs27WgD8mT6uOkHaZsUCRa2kw50uGys3kjKJSLViiQnXT9abmLipbwCZsM2AsVyB0
z0GDOV8oRzC7U5CSlQdnEXX5UivHJzdRVcfxJ8Izx1x2ZtTWl7rTG+Mz7LsbKzbsbpa3Kdw6z4eh
ER1J9bBAMds8/Ib1FuQT8FWk+Mq0MniKGrxEX4RxHg+uEzewdIokiOVtVjFY8lUNVkEA10CmEp2F
1yU2+yoTtAgRwN1WXX2ZGmGhhER12c076NBAZ31Tko3QgMXkwhOBAOkcvLGTdZZ+gViBc8YbKbng
oRXDvOgDe9VmFNjoqqj/RHWH1HkAZm50nhdZHN1x0BYLlSF8VTpB+Q32K9mlCM1QkrOcB0597od5
0Hh9xcoWDNyeLgoCr9VFrOwf4iS2brpaofy0RH0Tf23tNFCnqW+kP/rB2cgQWSahB34ApzNJ+lDN
Czt1vhrIT+dpWwSlYCaIub5qw08y1+rcSePI8ixSkQDEHhwbJpqQOF+qyGiCWUIyWCaD4VNnaWY5
LtcpCOT+DI43gLXRbiT2LLIMeKNdMzQzUDJteY6rmtiu7yS6AU1LGwSmdxn9VTmNc2/0YKafDY6u
8KNWWa8gsIBZs5QtgaG6FIeDa7aBHSwLgKV1jdix50PeNPqy61kCLrkqBWfq1Ey7xjodWhvAiRFW
w6JI4jy/zOzOvDA0MvNZWGZpcx70bRG63FJpeA+WiHpETgZiBEQnxC/iULVKOG3DS9ACfXmXBCWW
f+J8oLwRA1hg/edCU8OBwZRfzUJmxMGZ4Rft9zBARuMmTNnxUjoI33bK8IdFVZdKzuRQwySVREcQ
A4uTwbpK7SJJRFk0yL40cWh2bg/WjZq1YQGotTyTgagGloLsUCqZ4Y52ldckhFeLgZcw+2OzC5jX
+z1Srl8ou/zaWj2+j8IK5hpoOucLzPVU3WROhkHAksKJ5jwN7VZ09TfC65ZjEccN+2yRrGy91gq0
eWn6CW8+lb5yKlDuMKNnhaSAJjgOEOWSVMf5BauKkN6QDiX20u9yB56r64zgMq6MovVS5YPMAGus
1pdJ4gP/lRMHcxXyOPTaDqFlX5qw7nsIXUth+iG7fLJK/+kYyaV8qHKV/9DjIMnrGMl//j+PpOxJ
HyD43W+vQzJb6QNQxHr9Ov7ynHPYEP2MpsCeSGgOtamhRZtaSxsqKX9FUyBmAvkhBnupGAWnFdyB
n9EUOOQXegGCIwBFeVCcu0k4/IymbA6dglCdA7EZCi2pHPM90RTINow8I2vjwdoQm4HCA8hIb/h7
7cI2RafAIgrptepM5A5ds2x7s/RwRKmo7HKeU1KLSvdfGRmopwLzoaL8Qjt97FkboRd1vrnQVXiu
2xyJDGWXRgThbz4UtQchzKuuspVnOlXu5nn9vXeyb6EMZqCJP8VmtMh6fUYo+VQWBYTcy74WTkGU
qDC5yFKwKQKDfVaxk7uJk2oQR/7nIY++WmBrCVBanWt36bUV0Gvc2jOnzM9YUi5ja6DLofErt44J
d5uwW0BcZkZ48cMswk91G1hnWeAvIGD4ncteOGr40qk0FzFJCUT741jYZpp5tPBd1OW1y4rwS4vr
v+KuMd0wDk9JnWeiUKwSaQgGsm40hP8LehWn5VkSm1S0VfWjbEIsOiPX7pDwa5lWhdsG5XVkNcVZ
l2qQIdIPPJbmMYjJKnAdFPhXys6RBzbrAFF0c/jBSRNfNSZ7GCS83MJPw1sCEkqEqlqHGjmXUZ4s
LccACUGKfhFmil8r2aUzxlpArQ5NUQU6cOO0a8FqyULRRNheyAbi53YFAt7sWHCLAooXQxEFogxk
AhF2GgjwR3IhUxrMUJ9Ep5RCiNuQkiyicBNpGMBvtjvQayjPQT362MNdj8ANVXJuosKfmy1NZlWq
yULnNJ1lNLqATMP5oKPrOMNL3QeDJ1P+wx/AmYpYas4MJanX1300wz7rF3EdJDMUhRxeBO5noOKc
hY7sQERdVS8cAtolDSoIHYBd9ilrGV/UhRXOINkenSLk+17TJFQoSo3bBLZAiHSAJy072xbSRvac
B4Z2o77los+DYmaAtQfiO5ZnllLtIiDhfU/UTV2jbBYavBe5LuA8HAW2S2iDh1E65lnhKCoCvImQ
DZtXJEn2V6us6HMGpq1QoZOd9jWEA0kX5CLxM3xt8RDMt2LwQcQzeMeVUZ/yFuR22JoQ3Ge1fIxT
yQSKmD9rgtQ4RTqa11Yy8/3MAb8Y/NrUySqIu9NUcDOqhRG13KuKNHHtJrJvB9zdRl39yW7TeKZI
hKWbkOQKnGN9CvbTD50N3zVuwrkucC0SJ6kuJehCl3a2l1SlvYQ0on9hG6xZcD8zPxGj/iKdXBse
0pAWWISkw1jIuniA8P6MDUYM1mSUCMXDcmHI/h4bLZ53YWC7qHHOspTYs7btsXCaepnUqhcFhFPA
FwxmMsuMM8NEp5LSz42KtKuC8D4tozMWZTctU65hsEtl/eUzcl7ndvNnHyfr1tYXnWkYIqsgSsnb
ur2owRE6dRwdCVnJWAQxuiBwt7AIz5vG/FGC3+DiIblELcKicdiXgUPYR0YDF1qlj4pBLAhcxWUO
+RkIlF/UloQ4RdhQL0t5voglBtu4CS2v6/NONJIxCOWmy0yRwmWKWvO+BwhxmV7XRnCXdP5fKK+/
FSaIB46KxmNxdS5bvOpi256pmEKYQeXBHNd4gSWFWJlZzZpIEcEGnIpENZeKt19rSMd6zDBvnI5x
kacsW3LLgm9qFIk6Thq30Pl5HaFTMDEyt4FMTITy8lo6uhcRuJHC6BxPd3C0nm/HwmqkB16+/S32
69Sa5Vl3mRH9kJtsmdXWn2BZWEuZYhFVw3eIh4DXn3en8NDJPCQQqUjx4CU2uwojkDJObghStW7s
GLlocnxqlPZp35ZeRCAFasj2FpLZFwlR1PVl8l1z55Rl9AoHxcIwy0UA3j5g6nYJhp+tVcildJWs
fyjJbiB8qGdN3i91aoazmiWuYca34KEZoAtqN6H9eaiT29QxPCzD+wRCzqGdnbI6ybw6lfeJ1C6Y
x5XIfMVE2g+nPkSgZOJypDrIABCXErT266wXoMeMfgHZPsVvZBonbmBnn5CsqtlBLKj/g7YR2BJv
20Z/pHAMa7XHOAKqX8YR9KCH7l3Egj7XcCIQlEH8r3EEdhNYJPam+zWF8opfthG004VGqghO5tzU
QYLxAmbTT9sIiqIx7GOFKPmz3cTeZRs9pUJeR72hsALKe8BA2lhpcGDRyDbKC2uIrd5X1yih93Gu
7oiyzlNT3cYdmCttY4ZnAQKxjM3TqO8jL41jf+43duvqrvYFKgtwB3uQ7BDA+IRMEHxhwbBoTW1D
YhXfalRCmsKBsTKWh7MkKvDSCSoiijC5q1gWiSHLucB5d2mUKAfNHIERMTSGa3SW70EYKpolDTHA
PmvLK5Sl99D50LpkzZBdRIRokdukFIGvghlJ2MJUTgChk7x17RAU0VBl92HGqQeJ20KgSi3Lwpr7
XAcgpSDKwcx0DbHwLxBHNERCrNOcGnfGEGPhl+py2IQMBiv4DnnCSJRW3btV3s6yahnhCxzQxyZc
VdTVTgDlDGDotE0NeYGhhhoJkONelnSxRwZVzIo+WrVDXohOV4+1bs+wLlrhIHigqvGXquI3vcEK
0WczY7ioNT7rTP6XFdnLHEWmcHqQkw6zLqqggmXcdcJsoK4i7/B1bFeJCFD9P+yd6Y7cRratX+W8
AA8YweD083DIsTIra67SH6IklYJzkIyJ5NOflXLbLdndNnzv/XOBNmDAglzFTA4Re6/1rc2cRC4u
iRfKRHEu9+HE3ATq4D0senYXO+WXmfZ3so8gDrRem1akJBs6CprI0JCNF0w6Hwqh8raZ6qxoLEkm
cBC0KveLrljiT2VWR/393Mg6cVdN8tGDnRHJZUmCGDpzAHEh56MyD1y5WBRJ/MIdUSeiGrajWx9k
Ez6yeH0nDu+3wBoS5aq8NmWcCVo2kLKnMhnYsLOuoWmgxgPeyyNx/cZt7HV12hSkdy8DU/1DVIw4
8CSToRG3K5u+VMKKPTXOBTf4eywqkUyoAw9lQ16n0Zwm1JqZg0oiq6z3MVv9YcJl2Ug1A02RUbGD
ZPm5wyOKcpuWaVMFzaay+sGnXB67yD2Yun4b1vi4jmRNfVFuhXVuxmUZEulG7kbxgiSiKWwySXlW
9YrHxzyWvPg8lmG06z2IxLXTPRSrV0KA0i+jF+6bUfFd5IsDps61iViCbhPJfh9w/2kq3RLcTx8A
iVkf8DvtzWh8A81IiFzxYEq/64NmgtBL4uvFm70ldYMiyEjBXqSop9SsWidS9v1BUj2ns4MNvVyq
EVtvi2J9luKVuwXf9eA9LnXgo/DyxmzuF7KJdPcc0bVOuCohydQo86iocIGGPi/aWkMeaio87Yru
ZQXSQ9RBmU1U7901cvdjVO5DUrTbAJ8lGQNvSbAsqiSCrID6Z03E2O+YGne1E2S1WBXke1VDY3MI
njSmUsiHc7KwMsxiLjPFCARg/Ac20UvN40RI80Tm+uhP+iC85Ryz6cGERier7LalUzRJ3xVr0jfk
bGb9VAm/T9qlvHRM3zXcPkfNfJLd+ioLqFQN7OukE/UzLJ4Dm93dIuWjikDWjLp3E9T9XhK3800j
xzx0J7HplkiiLJhPxeTdNSCn8tmSPKTDgWrdA97S35hffKo4uYWPdobtdxnrcEwjIz8XBZAl3ayv
bYmamo1RlEPj/CS7EJ3NUpSJosOjKNlxdgaRmxZ3DXzepXn2dO3vKhb03hZZGJqXAg6FX4lf+Lf/
1yLI/39bOIPF+O+38IcS/OP7H7fw60/9toWT/8ZboqB3AhbBVJif9A0Pb5iJwhj7O9gIpM5+28Mx
2JGAMPExaRk5tesO/9sejgwEKgH4tLDVQVpGof939nAMZ/69vsEYYAds4YEPhQPUw8/6BhLwrje0
Y3tx27BOfKZlQph9NmHAt2p0biFOT9iMq1PT4uGalmg3LmgI4efLzMzRh9DVCS/CegR11aY9GaNs
8WKsbhyPa+TtolZvAgW7cCY7C5eg69ASWQd+iUfepK/SoALx5M1lDgLlvQzr06L0R1iXuY29XDm8
ThYynMaZfQF0s+VLXCWehE/uVJ3e1cO0m+L4KGueC+pvVlrnznU3IL65Cah4AvFytrSEszmxaluu
9L2d3A2mfLwCyfA3YVFAox+7ZTuRFhIDGtCEBfLgz8psomI4KursYq+Gv1Q/FEYN6ex5NocodNcT
xtHWDRtI4O6uw4c7eiGl6RrZNXN6LD1OF97GXvsV++CwXajfJBVvvMRZisepFd/aQc+Z21u0arI+
QV4VWcVpk/dmaK91kA87TCyoBqK8cZZD6as+47Z9Uv7kHLoR5Xwk7sqpHOGpxAdiHJ6EvjrF/dUR
1luq5jsgl06uV2dJls5uscZ+Iw6EDge7+Vz2XYLZwG91Te4XOTjJWIgw1a3XpUvgPa5d9db0Y2bb
zkuqCNSgV1U3YJuO9eh+k3INdvU6s4xWeslLCd2BFN4d4N6Xssbn5wt6qpWLNQ0GttMBypcBDglc
Y/0h6mbvyDazfEpYJSEPKIJ2GK1e5c4S7mTcJ6IvX4ulu58nKNUiGsDteXrLedgkY48GTi2xn1lo
Neh4VJyRrmHbTuhbIaIXnxS47lInDQHU5HbDG9HVjaqrG6jUMNc5iVK49lXGaL9C3VpoCqsem4ka
toUnzn0Z34yVH+5bR/YJl9XZrcXbWI/VZmybLtHVlM2sB6KID2rN2iSkNbuRuBdKZTqALtk1pDhO
XO9lPzxpx2yF7E+lEBsWzDG2s0qmXJo4Z4GdkqAt3Sxyzes6Vh8SBYxTz1tbDUtW92Ob9IG4Bbfy
4i/hRaD5Q1dpHqKm3Sj3MK5nZU6FAy/Vjfd87m+J31+oKXatv946Oogzs5gthVmeaA29T5QrikpU
fUENN8DpqiKFfVwkI6hU0eOX9p0/pFFAu9QycJGda76VDSrRufPCnF7hRFjLn+c6yKyIvoWQUvbC
Geu00HG8Jb2/L8noZ2vBuimhIFcTmGvz1nFmnvuzV6QiLO0mdgBTgXBJ+FyqgyiaetMZ9lX7im10
2XwVnnlFJfxlDW2dC9l2CffsZdEo7usqMOmiApVjOTJeCkeTTkfKW3XE2oMOOxpCiEcj+oa+U3u/
B8+58fQQ+E/GbaJoW7KJbDVbBjxLINKSOZwneMCazySPeofNyWioF+0YDM8BLTC80DPogUU/xG5H
1IONJ8c76lmLo/X7tnydVkbNbaOGneCKpEONjV2whm2qyodg6KJqnfi9LDyTKuABjPV6MznTvI2c
4OiHc5Wh+WOJboMvoxASXC78uK5mr/Afo7Q0pk6IuwYHT+Bmbvqoga6F8nzxxaehYO9lPdFMRXWX
wDf5Bh7GpF4JLZT1wIxc1zTofSaYPShdlkFmcwVbphmcE+unO6fQqFHFJ1PZbytQWTsvdSLJ7CZ8
8NtUevOhXPa+a7sEtvR71Yj7oEKpquhVSES6I1HKPri0PsPAuXHq5a0t6bcVCiOWf/9bYzo4tVXm
rAe6zHXGoM4UfLpvZiw9bukm85zN7bGFJeM2LZqUWbxbvu5Lz5tQdc5BOlZrn+BmPAdhs2aoNKG2
Os4dBnbQzIY+FFJYpqu7AB6fixRnYYCQMoJoFq7aesxgbWdDFsZVmK/TgmepcB5Vk6Ere6GTBDbP
6iIrnQZCWRNbHHyCvt7EO2+NCQrdNso8W/HURiC+u3mweSjszRApmkSR4dA2w9vK9ifdhl06D8Ut
nL1EdnLHtXoPYrvkkKcfltYZ87WDWlvE2ED8Wj8VWstM2/4F80cPtdPgM+r1FWBIucFTx3APrCKB
W+6gZVQfMo6fsEBv3KG9abpSJZR7O68WT6OpoCmGc2o4imfrXdDY3ce++Fxho0vwatIzc9WR+Xju
TM+KbbGSKfXdac8dgy1BWZ5QHzRT2TT72F+ixPA+rSM6bqVf2bRi8rap9AWVyAZa2LPpyG5oxjJl
Gv3OotmcN25ncry/dszipgi3DsffhqYGjtOYbe84ZBsgHLBXOKGpLNtbd0AHGIXqoHuotGMQH0I5
P7W9cPNFYBPEkrVxqpVvoZIe2z4O0sVCCJ7wpB05oZeAqDJxJGQD1bvdfqWQsA3U9WTxxgLonLdn
rLqUukYCAxKi0wNvxyKHBc63u7WjeCT86EInswIE8MCUiPlLL/iL54+3soeNwLwvc+Bu4G++ioa/
QvoOMuVV+6IbXl0R7Ty0DBb8uwfMyKMLbPH2SjjZd961Wx3Sj7hZD1xXEJrDMYmV+9Cz6yLu+Bus
9WX6H+XMBbQMvu/Pyu7/aUGbf/1D3f3Lj/1Qd6M6DjCtL8B7ozyUyf+UzigGKQO4dj1omT9rZ0ie
YioAxiyz60QQDHf5re7G6wQx4svDO8YCOJIspvTv1N2ACH5fd18tygDDQUOATHhJMFS/H33FaOZj
rKMSAZ5KDYeojdlp6udj1LcjdrXpOei6bKxVs+tF2K4fpZCjc6ehmCzjWqWAltq7uERdpBqkJjg7
CDh0qE9QTpF1AW3cEGdbtYYl8PQ2vDHlHkgb8iLYNBJAB7xMYzP2my4cWv2Aiv4tLheRONDHkhBc
EdpqKtnBzFi9/aGfyyJdoqU66LbJFlo4O+VM33jcrwCd3WK7EAHkkjQxTAxunoc4io4UYsgp8noQ
hdXDoL0SXUO34OEiUZWZyYF8b+I+Ex5807ataEID6G8TSswmnFQ+cpL6iqqNPw/nyC9NYjwRb0y7
zolTKIBKZW93k5VnImWcqn58myy/WYjNS3fJqKQnl/GjXbFkKKSkkgqARVJHUWq11HmPKwzpz1Gw
zhT/VlgRfFrW2iCw4Y9lAtISEFwpyS6e9H3ZeA9R7fZ6P3yPAlXXVBBYybS/5oTG75GhAH7jlJS6
CE3ihTB9PWKxefsFdsJC2/31FQFb3TfYf7r+stTyHLDhgBLiPLr0GClnI6Q9OF2QiRUAA7Yxt4Zk
VA1fbU/vKxW//WfxwOJxbaX/bPH45+CHf9G34yd/Wz+uGXPkAJiPtytARseK9BuXgDHO+CvK0If7
eDEdWuZfI40R9Hq8FxpcAnq94Ptf/aq9h0iNoNWO//GuOwgBv2ITl1809T+LNOLlWb9fP5AWwWSL
76MHESq5BqR/XD+cyPGaaW7FrUartZ5qOvj1GWtaTXOluvYSVqNRadf6Z38YL7qMvjBe2nyi3aMh
LaQr0t2MdHpDpOvQyv6+6qpMOVQkXl2c4KSdhhlddh/C7PUMzybZ3JSufVnr/iOuYBUJQ0GgNoG4
8/m6IR0igeXaIqpUQrdmSDS1qj4pZBNnSBzZ5JmefKYOUktgiNuN5SYie0z2mKoDbQLFt1ivGPBo
EwdI/g0eXO/CgTKRBGbYh1XYbccwPgRttLJHr1AwFIvO1jqLY16ym6mu5FttCzTFxuvoxmiDZ0fp
+hjKPqhBR/gS1dsEljqW0VTvmh4mQD5O3B3zzr+uO62dP+sAdK9t+5dw8HWqSruNTDxthyp4h74N
Q8GOsI+j1qKlEKeqcMeUSsVgR1T5uBbgDqBZiMI8Ubd4dqZ1r0Ln3qA47I3ds6XPjAN31vq3sQmW
JBoCEG8U3Xf1PjjiCHTcgY+uTzrsIVw6wy4qoetPMbk32tkD38+RATxHfPhGQVV0jt2RSh2gP+x4
Md5gMT53dD5rMX12F3kfl+2O1sET+sWs9MNdQfhtUBqZjO3w0A5rEvZV1g7u1vryflKodWe7rwP2
0oVB4sZQwyN5aEFFplHn0byOv/VE5KwNzp7VOdo/hCnXlAh5Kip5iRElmuSKQjbKBofkfVieV9Hd
IsKQxP6K2AfbyZm+rFacDK0TACRnXEv0S+gHy/JcF+IsPejk8Iu1Uofar7eIKX6iPjCySp0GT33m
Iqrz66XnIfSmCRmbjmyjYL4hRqpEx+5ZU4DSY32eAno3LvA0VufJL719W1+vsBbZ0HR7SUBLgpiM
i/EjZhK1cfsCwelJuOW9Kp1NMfg3eC/0huoOnb9Bs7yQG8vmzwYfIgXeloHQuCnMeoCsliKPcMND
grJ1Ptq53GMfBiG4TB9TSO9NPN9PSxMnBTf+HTKJ2yqw5Tko2GnxaXc7tW69h7WKDaeiwiPgAnG+
/Hm8dQP/xhLcUhpwamukk46BHbJBxl8XPp/ductY592EFb+bRxVk84A9tW3DzBvHT6pecPt5Acj/
YjuPZtk4XvEJff/JxnMJLE8/NtDiPMeDjs2UzKkANEyafki8joWpU6JlHIzT57Qkp4KxezZVE5zm
DirJjCtuaoDMg7OVDOkC1Pu7oWxgusmw3owzOalab5uCXwMrCDxgs8Xdgat11fJjLS8jANu0Z/JI
vXVKy0UiTlrdsqK58UZnSyCwdcF4HiitEjt2XwbW4WKsDvKV0mZ1seBkqeDOb6O9AOCYTaJGpriB
fF+sM0yAWqfCpXFKSx/MVDXcdFULMUg5aUfFq0JQKlloZ1KnW8+aeKe5qb4G3ghnPqK7Yuj9ZK5K
WI61uQ96+qzi4OD4MFwc3W5Anw6QquzJj8mSGIYVoHPaIY0Ro8roWOgEys24qfVyI0Zik8CrbsGB
P5lAB2lZzo888HG/I6nRg68xUXNbAPVPy7FrgLvUT7Hp+jSuyjhhvmNvVuG1x9IPmv80Dr+QhQTy
9r/X63e6A4T0Vf1x57/+3G87v4cQJ2bEBdekEd4Qju39t50f+U7Y6tj20aXgPSwo6n8lElETwIv3
r9NMMCT8uyH/j50fij2GxCJWdf2tv8w5+Bs7PzqQn5JaCFF6mER8fakAKlT47z/v+0oDJEG2xV60
e+A1EK17Ibc/nJR/FBv/9eO8BPfafPzT2Me3oBiagEYI1T5FAsmH/fBjcUGweNR1I4eLZ+MaOWbm
S1B/pUd77wI/YDTZKIK5uVtFFUTna9TqdeIhbe4i11/S0u1meqDBkEqw9mMJkrdoczwK+VrhqdGr
ly5LeymwG7fCQQIrBiEjHpQ78GQpSb6O4f1cyR3q9S4pOwQFKkUyn40HEL+3TtR8bpfm3QHDpodh
D5bndYHVmK5VecuxmEW03YclOG0yT98mHYLMrmzWjizcViOYfKcjbQJSfDeaoUl1WD/BaR09iYa+
f+WBuwehXSdYjA/j3H+0yGkmxYxNfuk+igGUQdQNIAfcGeSdnDZon25Qj9gs6icQoZbCjw7dz7Ps
Dx6Dz0FYj4KLI9ZPn6a5bBNaqZemWyQWPvtFBuywsKnfjPVw6svZZvEYeplfFX5aiOkBk7YmgAbw
1vninTreT6mS3l1rY56uRr86tbdZLdB1zL4A8UbVN1iGgHmwmyThKC69YMfQTizH7IIqaZux3gUI
ZSaAynk617rPq4EOCcFKhEZxfSFIxHm4nInQzr1vHcgntH20HRydOGrenHFiCbXDHhGE+twqi6XL
aQ7SqQBIkJElJOI3XH2BOrWJseJVnaUpm0eZxqiqihV8aDFG6Pk4OUyRnjJlwu0a+l+GCr6EXaaj
DtmXCKx8FtXVt6gLTcoZYnCjih/5GHxj0KVc6OQVBJ2UyHpXUsAFZI5SwbsLStLPpK6Rn2LKgVLd
79sKySFm1KaKELHSXm1SDGuwOXPcOPV7fdGx82S4BkzXKiiP5ZQTVj7wWY2ZCLnG1AUvbxmYJ8Mh
IgpcvziqHyjUXLTU4N5i89JAnk2qJfhW1/EnnzQCuCL14Kw3BRrVsjn1XTulmGgxpFhXnjgw/575
AxgD75a3YZiVAhEfMs+fTN3i7rGjziOL8xGG61sTFI+BgaJqUHgzYLwbM7lPDW+fZNVT8LPXXpqr
Uxc635QTvYHFZEnQQIbziIQrXwCYB4cYCLQF3tLsB4q7P7dsGovdgLMRQ+ocH31u1wQYHO7yuG2e
GoR59/4615fAs4/jSHfOOnx0YAyqZmiTVgxfEUEZFeZ18FyrqNo0Vh31VNUvjCmAcAXU4+C5j/N5
u5RLfdPB/6kc537SdYxgY92OoO06xPaMjY4OfK4MIUGRytb3kxX3L/eG7Sy8E5N+l4aTs3WAOw54
NhOoCGcpwtcy8j9gF40JlrUxYSvZdNiGTbkcIfy8O7M+WlUdOl+/cY3WBGvO/dSTHATRvSDe3hLn
HlhiFjj8Gf3Hm4z8TBD3GFt+JUEuCHOdVqk2q26QJFm+aoMEHNzJrJGqyUHbpQ0shlBOKIgiH2aG
OYehyKexaSHErxlmjNhExKBE6shBJ+PcLmp67qq4yTFM40MCj6Dj/OLID1/jTjRBuPEYMN+06OG4
oTS1FaRYvThO7polfA65mbfjONG05jNN/WhQw7nxvNdOMOcBkdw8ND2Cg219LSIbwYYl6cB5b9Ui
pjRqUTRHXvfcjHIDFurV2vYZetKb24FFcLW/XrDhjZupHd9HSvbl5H2di+gW8b1z3Mb8CnpWid8g
i4euMkKJhfEu3dqhCkdi7sS78qHi/HNNJye1jW6P07qE+dApsDy9u6RMlW89xVW05WNViTqLPeeg
jXzVSLo8oJPtNoUDdhjqsgRAir0H8SmsAdppg0zqAV6WipzHoPaWbFlim/MJbAaecvlSxFJnTIXd
Dk9zlI0txsUExuwMUXZbUGD1XieWre3dMjXtEINMaSo87JW/s21MdrIxiHqpe8lKVNhkWxtmEuEU
AIM84GUBeRx88TqR+YH7U7CPmX4VMdBvxtfi/Ofb7s+K4PdNF2/iBIURAAUIAQv8vOkGrR7gxo/6
IiKbB+S2jh4DfGofeGnNXv78WD9XEddjgQtEUJ1cNYmYhNchCD8E8zG9ZFbXcvoSFXnRPI8LBrU8
/98d4voRfjgEgu5ta3VrLwMeTBBqSWk+seHh/+AgSIMjChegxrrqtT8eRMK6mOve2os3PY7iZnbA
zez//BB/vCw4VT8c4neQIybSRJyw2V5Y9NCNm7VTOaqQPnyvl7840lWy+bnq+vlI10/ywxlrS+N3
gcKXGReMyOnRMNCD7k7W5KY7rN2a/PkXu37w3x8OIxMgakMIB9rwOwVJ8XpeJ0UsmOJXopCJDx55
eVy61++H+Q8b5OKE/vteI/to/+uMQWcff2w2rj/4Q7Pho5FwAQj94lT81Gxg/BYinVAM8QIxhiL9
12YDwSjXxVP8/T2C7vfpYL82G8CNImiQ8Bbw5tcQfNzfkRl/XiauUirxkbOCkQKHArby70wKVeha
tmtPUUfOO7epbkLepJ5Z8h/OzL9oOLCM/fFexBB2N8a4N8wJwSyBn299TBBowN409uKj2d0rBFZZ
7q/60EGWTATlDdLTIZB2JW7jRd+MzfAU0gn+LkjM1CKHnzcTaY5m8uMMLgGGaSyqShwfHUVhp1cr
hyHtohL6/DW1VMr2YcABUzq0F+FWPcxSWLfRSMcsQu409RC4QSImOo7dnKIDAjaJiGcW+wGSPk2/
KQKzweQdlWmUT5lsZtT87MWJwhM2CMz2It5ryVqRmtl/wESLe6ebz47jn1XlGigiSAFg/sweidSz
LTqedzF5KnjUJi43JqNlBf/BqDsEWzfAMF7iaPqgPPzEu+VtWiEvNVAIMwyKuPhTcQwQ2txAlN4F
cTFtZTnhCk3Tkwj4rooYT9uyPCIl97m3ZbMxnTtkgVkQexHzkDn6Gr1hot8QtX4iHVSRldW3LJo2
0XW0mzN42Rg0n3RInibJT2LGvC5Blvtw1Fs/pjsecAf5LkwbsAy0ByKcSIBR/8FZAAF1aozSMP4U
qy53vTnTI2AlqRkQBjDJEfpvXL9624T6WwQRNIHmdXKM9vcgtftrh5mScDlTKJDzIlliIZtsGtJe
kDCuN+CwtmvHTpwXPFGEbWODc1vaBgZx4JtsGONPPRJcoCDvRb8umbfK5yoAhcuRNk081T5Iq/fE
bwzUafeLi7GDCbfLcwtwA7Mg1ls6A6OVZW0QjJ2+kpZ+pbbFFBGQbKKN9+DsSdpYu0UO767D6JA5
FMFN6K0gg9r+y1oPr2Uoy7QLxGNgwBiwMWx2VntbhM9S6hUbxGyQe8UtBrSX2TInczm+97Xg02aN
HLWAUpon0B8QqDCgj04csWNAK5kb2g2J7DVTM82HtvXBlS4kda8z0Jj31YIFqnyyMauYgMM2g3lu
fO+a/LEgSRK/8v1Mz6TKmpruPeBZBCE65SJ0GI3vRVDdk8b5QKUC1CqWdwJ3I7Je5nHmUoEjtpmw
Ddk7nY/UmjU3EVi27Fq8+RXmrhlpqqsFaN+COpT5zIcTr9wilcO8A3uNoLm8GeomM0oCB1SvmKMC
SyCuU1O7yOOLUxPgkfX65gKg/tg6zn5tEdIreVnm67wgTmkg1llMR6ktVL9Zk3tMfkCvoD6aldt0
huHQB8OrnXLA/nvQPhgB4OyWIHyfa/fT6sOyD1vEvpf2U8sejJXIoOnDgMF5rYPBd+iv6ca9RgwZ
5tlh3ov12M6gm5tIibzfOpitF9Zq4xLoIdywTz0jGMMgbFY4E3A2O2w16W8XYd8gSyINt7Bnpdzo
NDiYNPKI+Tgpj9hU7DCpEX3YXyyjP7Oc16oO2wULXKxDQErJ77UhKSUGzi3BcrFLGiZsWxzmB3Ha
1ypx3vuXIW/2KMiT4giOSmf11vuL+uWPBQUOD8TV8xFJvb51/OdFfCq0b5xArxcTwi/Zxy7k3vmT
I7q/Xbjge7q/DAgFV+n+rk6KFfasCoH/C6luMGwraduPmO/h6v7FcX7e/X45nTif2AMJZreh7fv5
+4wjgw1ESvcS+McpuB0woLL8q0Kc/atr9uOX+d1BdOm6kjbXk7aRz0gQ5Gbnfo0wyDARJ4jCPLmf
cpg9G7p7OkdZm5zNqdo8y7zI7+qDTXZTNt2oDP9jJjb4N3/+i3vqj+UvRQAJ5LIHKTQGkvzzSWgx
tIj0i0suCBufizs3d0/khR8w58dJdbYkhzeyndPzuLE730+7IwjBO6QwNzZp/yNa/yMOj3vi3xeS
/9MOVf/xL6pI/NSvVSSGKePthB7eRgaE+wq1/FBFfo+Q+fgHcG6M5/O3KhJBsRgjXjwXcjZsZBja
/4Rdov/20IaiakA59kvt+Tcka/KHwV0IqVGUpN5VS2YYQHct/37obPgEkrP2ovbWIeMbrxQmi+j2
M1n8fUu6PqmDNZUIEYU+wEATblaP38TLeLZRd63funHfVZCCNQcQF2q64b67cYX3YCtD8yhEBN3w
5cZVBfScq9JE1HMVIX3akvam9KEnGWfatY187wJon5qwr5g+C0HJ6TgGqM7HOTJfG02QtWhAjqBb
yoPF+AlZ+jV3IUJkU+fPGYZYqDTUsU7Z4gapEv2y6cVyoQs2VCCooEJ9WEtcvXoYSZZhushX4QYH
rJhDBiV5wH4hG4SyvcQvMcGtD+MLqscXU6wIbUfYn8sSQ0fbUOGPQV2lKx9o0nW8SMJi73G1WUIB
kg3zPSDBzs9ryU8q7I8DMPUS3wlBoAoLBaX3tsIGy3mXNz09FYQ+FpgoCnBGd4hbYRSqkgYjzxon
Shjzdp2HarCIhpcIYHkauAvXcO7MWPEHRevhE4bqPC8rs0cVSayBGKTbEovJWeP0aeaYnNI3226w
QcK0D1nEAiLSXkGTsohOJafP3ojEiq6g2wcsyBusdBn1V56vMSxYPsVQhYS+95zyq98WYosBPinB
WJ6jCN7V/I7ZRRs2BO9y8cRWT0jQa4T1psF24jkmZf/Quu3QfFR8/Qrz9X71EAz7X/bOZDlyI+2y
r9IvABlGB7CNeWKQwZncwEgmiXlyzHj6Pk79qcpSS7+Zei0rM22yyGQyAPdvuPdct6tK9poy8rw3
TNDngN5qryMY3DHzKK9NGfjXdh40h8kPlraPFGhwxa6ViF9RpcbLyPans5XMzMziEt086LOnoRhW
bsxQ0BrLT3Ao5g59oV9DgPCi/+nL/22YdaZMf3/Ogbbrmre/OOf4qp/nHLAQ16eygWsKUtG2uIz+
WM2Zv2FB1RmcYUT9luf97JYtn6UduFZCOplyUC7wVT9FORyBnEqoASHk/K7y+QfnHCxxzrH/jFQc
lmYuale1GeRH8Dj1/vucG4cgRLYd2NfpXLnTnrF7br1Dqm6Da5BEVp4D/9BMKmHl2+6iu8kOUfui
A1sVZqdjoUD8wuAsXXd+a68Yfus7fVDy5BFJdNeXb8Y0h0sM+G9z3Yyr3AIhKhvB/jyECBUkN0kN
hycMGFHldEy9BwvIm2YYAj6UEY64AFxe2isDTr+OZJutIsHgvmAuarjxU2+IS2wVW5HlclmOq6Kf
WZlxWvd6DjE6KS/U2I+lKPcNk/lFnNGimXh0lj50IugC85ufyIsQtc4m1hT438wbU2+zq86eyw0A
sGJlBrQLcVN/WUH41iWcqLnmrtvpcxhNZwV/cN1rVrjK8uJqNO2nqgjxEnlDtbMbiIvSGqplWhkU
GSXH1+z5cmn049Ga42Rtyvmz84JNV/ZHwx+2hotGsCq3jdWsJbsGaA9o8DkulrK3Plus7oggMIDo
C8gtpwIr/OwMLrdMwJjAZTuPXd5Tvvksq3Y5RvqxTO4zjPVtW1wAox8jDPcQh+BWOfml5yPtlCdf
H2NZbFvN8DaeqA6Gk78XaJ+XEGNPyJtOUOSKpQ3vQhy4yuUFvX0VvCYyC811Y5VhcdHmdqq2OWUX
7txUf0aWiJCCHvLDdCzgEYC7Y7P78JtoA41e6dP547gbPiGBNMukwWOS9+OunaKzXQTeWkPYv6nb
6GvQMP4n3vRCC3HfzuPF6I1XWKNgweeXGFHHUjiNtXZD+0dsjodBD6fXLKoxLrUVdE+rwIwIWdLR
sWA68gJia+dKTzt1bn0/xfyzWIbipw6962BsEKlGM5ZGms2oBbCQCn/diknfze6XkZQ2wDg05S20
sLyyzVUGvS4NfWvraDEwSrCeleFw8fboTsroI0zreZl107zxBuUDmcKtqTUv8VDuSl6bJUrvEdkN
PmC3mXG6ct0aTJLGwQ6WntRupkB7llhmRGUZcBiSByeIQth/povTGZ8pMFFYV7vMTV0cxOWhQDDG
7hnee+050OLTryZqr6vcfusbACAZHtd0Ss64546V4ueL0j+yunEXpsVuMMEgKtUYJ2n7YVuPILLa
yDIWpk8aWuq9zOyKkObt9SZ8sVKrups1wdwi8gCIms6Dq0V3I7Z13R+e68iO91Xk7+exPjIkqo5B
2TwLWCOAd+80IdhaetcanXqki8/Kns95LndpybM5i2leVQbKFCikt30PqwNwG+r0rUwif52O+Jd4
e8Rr0zf7yEy628DrEdcU2QYezlG0Tfp7h/rv1aYq7v/lanvL3vpP+db8xe3GF/5xu1GqqzAUFOaW
zn8Ygv5xu+m/kS0O0OE7DeNPklNWRQhOBcW9Uqz+UsW7v3GCMFalJ1A0cubO/+B2A0n+59vN45r0
of+gkUfi+uchbRGS05D1Hn40PQt3XDPbKOQU5lBmbd9Py6Ezm9PYmeXW0lk9+mN3UyQ2NKQif5e2
Wa4ardlhqHbWvkV4RDgIi81WVC/hMM3Y3AdzFbHnQ7ggsFAOY35Th/5T5CAS66VlLUd9PoKPPEnH
3nklBkBHi7b1VD0FXlgu59q7wuVD/Vem/a7L2kOYJ8xKbecwezEeMtu9Eqb9EDpowdvYu/ikdqwK
GV9aXb6xJuF0c0JcLk6FiCsK4ZeiPkj7+UoU7tMYgLk0WLj6WfkkRvIqUkSBbnavOflVywW1hGj4
UEgUe5oBmTYYju5s3xZFsjFC7cWMx2VYh5tWhz/QyOpUueUz8RVnK8oRzjrjllExXidhv7WZ1yyK
MeM8cNt1LGbcrGOWrSw5CsyR9bT2vKJb9z0eniBBQ8jNCSmXVIwIwRyIgvOQ4WkP58HYstncJKKG
vNCTb5AaxVIz5xsrEB9mW92n3bQZPJg6VljcjLbYTFG+j6FcLgK3uRGd+xDVQYh0ZHoWyqcZDw5O
JcNOl1kRlxsrnhrqFnfbyvkix8LdkAJxGI3sM1JDamxSDyKSKCQzE5th6V8nvWues8DdjV54V5/t
aC/AXehIAMTEypeoqE3s9jQRNQTDdkbrabX9VnbecyQwmHY1goesjLe0jMUizcuP1BXlKmkp3M3a
2GQefEI1xmynXYwiiN4peZfS+kTk9Al8LdyFtX1mYr0f+xqlkd7na9x69qPlpGBsJ4+FfhAvy6JG
NyD2mWMATI020gthJcDSXU8jq3czFNPW+24xCqdr10OvXeJq+OHP6aDcVTgndMATc203GCnqg63V
5pJJ0s4XCnhgBigLPddb2ba3MxXPgiHtG5TX+1hHDtEwKVcuDR5dniP/CSukhToQMgZ3e72O/RDT
ldvhAoFkCLUJlgYVDWolJ7v1kWkLMyDBBfAG3ikkqo2xyBWTIwvZkLhuhrAEBcTGUuwOwZu+0RTP
QwcXeZzM4hKA+rBCmB8t8A9PUUBG2L37impvEbGYXGozCAcb6ESoz3hteVMSRRRBlHETgBiJckan
laKOCPAjGQEzLTiSprzEto2QGVKJ5+XBfhTleVRZLj00E98sf9hNBk4Dzklu59XaTZt0pY1auqoU
DmVwUFrYtROuolnbQqtI5lcccD96eUqSfQNTJS7rieqXx6DPg7dJgVfMqb4KFIqlgMlCqsquMCIN
60z0qIXpZ9rxypgYv9YVRJfGZ76gEC8+qxolor2HAf7lKw5MOPLcWQoNUxbh2kZnwUoE7kQf1sVJ
M0fnygAqo8V5fR57mLqeIs64/hysRkWh6YKgXIYSzVg09Fe9TD2IKQy8Mz++iyRPs2OHzOwz3O52
wCcOaRde/TRfyqAS+HioGJq8n5cVeByrlh0wN16saK4RFvVQdDCTBJt+apNVWbf2TlkqFXMnBUxN
E15fcts6ZmB59EC/DxT1wTD7Q6A4EGhURryKpZTJdTUa8jn9VsiLb7V8g26++11B/62mj5WwvlYS
e+9bbf99Ff5bE+jMk/+XmgCk3Hem3l8SJNTX/lEWGOSDEDDP3Y9cA8nnL2WB+RtGNda8/8Fg/s+K
mOGeAbISFCaTN935r6bX/c01cHD4GFT+P5peBe/8U9PrI3ilHCAWg/+psuXX4Z6fu7PPpq2/zvoY
MvxS1qV+yEbDPhTAKJGoivxhSkJO11E7eQXvWOLk9KCYyKNCo+ttE5ZL7TH1xrteH09TADCpioS/
ABoL/Teegaq3j0M+nd3c2jux4JUMykWt5lHjSEmP0nBkSBjPnCk5qyjacCT3Ls5zyoYvizie5fBt
qIrTaQlh1lzLVKtpH/GbJ4lHN4bGhnbqZRKwVJrMntZQ4vKVLqt7W0DDsTsN0RWjKauadTypLfqf
ul/KInhCRLRqTQHdqWnQbQ7voksXSVDnK/b+HxBcYtRd8bOoWVQIV+wttIpdDcQQTPmzCO2t52Kj
CAZrE9GnwLbId6bonVWP27QZMQFOdi+he4/vUxm85+1IihlrVG72l1j342Vup1tEMHvQiWxxx4F9
QA92DpfIj1C3gfIZxXNVooSnS7FWQdd+isCcz006vcWVExwZJpCTgBmBJZtY45g1bk3InSsbyv4y
VjzmkoZyOwzp0XDqniOAWgz6nWw3aps1227M4eWWSOMt9GdA99dexEkU+niYO7NoribdG1cpjdzG
A+i0CjJtWrZAXRd4iiKgmSQBTHocrAu9iY/cgtnW84f2znT6+RGYV7QqdejZaZPpV6COmA4PafpS
SrA7oAbFM3dmfttIo76JhBnvPUOOp9oPOMkn3NXQrSUUSNtOTsFQVAruPp46OWfmgvis4H30Ys2D
RqzV+8LULykpYusoGqoHfeIXvw08U7xquEe+bEgmLOoxDQ7t1K1hCSynHHpYo6yFvTIZNhJsOq7D
lq5rxIVY40ZscCXqyp6o1d1ZKsNioKyLrt7D81F2RlcZG20cjrayOtYkeiXf5kdckKQChItUGSML
ZZEUyiw526mBUBHRp6uslOW3q5IkNfd3myWGy1JZL4GD9o8+2QJ7wdRtESmLpuZh1mxwbY7Kvgl6
fjUqQ+e/h/m3qVAtM//+ML//jN7yv5hdqq/65RhnbEkfIVSXhtznl2NcgYDY3bBiZIGD0OaPHQ3e
AQyIbGcw+v3uRvjP7NJnFspWUv+OV/oehv6D7o7D58/HOGxjx1B/F2GJ4ruP/PUYLzKcDRk/xnXv
R2mzgm9Mq6TvEoUh7eCRGi2tnKPIAQH00FFBS0uFLzXgmLZMd5YVSJ9NmEz3nlbW2y7J8b0b8HJL
QZ0NETX8ZqPO35xUIRCYryzoqQ0usFsKlmErpAhOkT2JfTKizK1Na1m5vbxyTOyETmhCFHON9zZo
vnSOsV01FGf5TXAVJYMKUBC3E3RX8APiUivga5iCftWzAtCvJwCHKjBs2KFkn3zmnTk/lTemmyTs
tJ2hgLKJQst6MGaNwhy7VdMHMZiBpN+JBolJqLC0rUU8QKpQtYGZlMgPwNe2CmTrGpmxqPjr5zgr
FpIpMX8L65jZ8lWDrAAJ1nCVucF1UkaHsTDZN1DKtYVJv2fVRxEGLHxblk59kNyWTqOclcde0wEU
CytBSF9P21n5hmQnwZXAWZCRCNa6pz1Uc3PnS4kHS/f2Tj3fyCFF7iL8J6t2P0pZnmtKCIzV0YGy
4MZpg/uwpwoduCv61P+SFeuRzr9i4tWsTBKolkaBV6LKyudkyA6iiF/GpG2Wk699jaGHjL71N1jL
X53C/6wKl9QL4gOWSdF6aC/4tQAWxkiGZuMUxwxUEfXGr1TbN96UPKY6PgW2N8iOCgKvNI76dY4+
BwZb8yR6SkwB8IdhwToN445tWhwxVawfS8tPN7mOJmn0RLhq9PG+VPDebwpM3LP2KWbGu4IoRRwD
3U2lsDEIZZK1hCRjV+1zD1kGA4W9CSzjR6WgM5HCzxTsqgIFpAmxhG6EgtQwWyd4g8d12+k6sqRv
mk2swDaVbe01hboJPbiCllfyIsDBmShlbLg4lgLkoN1210ZCD9OJ5os7BwmzPiFj9/RqSQRDtoln
dyGigDxE2FVATnhHANuTsKLwPAFrSEsBewbIPWEPwoep4LUF08eE7RPB+BGpt9dg/nTmnvIgGK58
vmdjt3eVwgMJOEFpLp5cP4ckDXtisJJpFcAUSg00QooxVLTProIOoQGWIPgqf924DNJLv/Vxyheb
Mq2uTLPbNlr+0EAxSuvw1OZVvjPgG8UmG094R3Y3pAtXIZDkOF7nmYkdUs9eInBJjoBLIPTB3Se1
ezL9/Mz8eJspxhLMR3NZpunMqAMCUxjBYgLIFO878EwmmCYDXFOmuE0evsEFIMAH23WeOtlcm4rx
RLaGvxoV98mJKG6kYkGRPIU8sGu3IaZS9hvzuNRARw0ieJoVS6quUIbM4KVmxZkC1DGiU8tWyJD2
wSw/a8WlMmfVgSJo0xWzKsJSvfD5tS57gFa01Jd2UMxvxbqCRGyv0l6KXQoIC/Hk0QaMFSvPzKhY
WRnQLB141gxEKwBhtZSKq1W3MEJTUFsOyC2DsQ1Io+JiKhqXAZZL+N0Wr+oE3ApBNuzuiwThFYDy
6qPmSv9me1XegWS4mro2v2SowEY31g4RQLBYkcH0lkIYVFgfZtCx2KUsE/TXS1EMKf4VDBazjqNB
0cacgM2OJrMvFOz3dcU6ejIwLTE0wHMRJT9k5VyHJfwyXZHMbMU0KxTdbAi1edcCPHMVkmWu58uk
WGhaD9Qm9cO7EX9Xp3Bp7KN9P+/Z28oDy7qIW4BpWq0oa9YgYBQLQkRJJ33OQbEh9XxjlRVvR0Vp
84b+LLr8gdrvxIycLzWpLnt7A5QT6rF3jCu5S5oA1D0PEahX9mUOWLjJNT5mMHFOyJk9YsIWtNS1
IT+hfhHqUr/NAKhcRZprJtb3oOdKXEhBiuuJnR0KeH3nAqnTWbLbareLTI6Tu8LfAgPIUWQ70j/u
iaq9mm3nM205KGNLKNKiu+PlhrYIIA/jqlyMjX8tfQg2JhC9jOd24WX4T/Bg4T9gpM+LdpFOz8LA
ncsty/Y37k65LuOIKhUCB0JJS1x7nubheXHMrWzkc5wad7gbsmU5+w+G274kKcwu9tvjomH7hmSg
gjk7GuDvvHcr8Gh7fAmWtXyXSV0ybip/NAHefJ8F2KqILNzYKnMlgAvAnXc12PwZISXH1of73bJw
sbCjr/28+4ElCGOXW/+wouIae1OzDMBkLts+uDIqQV8UTtHGL3GY45iyGUd2mXrLavQEzjlydd4y
xC0gr0tK1XA3QdZYu5yT2KLYQRZ3UzlH21hLXlO3+mD5Brsqz7dBkG6pI/gMgv7OcCpjWfe1e5g1
d1+1gHk5xBlBUhpBop0nCGZGc+3P9iqc8q9UT0sM68P16JLz2mjhSbfAlftt9eVpzHAwPb4MJQZ1
rc5RNBXiLY0wHVWh9qzXXXCRXnHFaU4+0JXdR9soth2NvRMQI71N/fpcZlkZiYWM9RCZBm4YFCKG
X0enf+vo7zpaifX+vo5eZ/9nVUq42H+xKOELf5bSyJ1UNQweAg7HnyYikDORq6FbMgGQfVfZPyci
PkU28ZA+Q34dybxab/xHBoB20qb6gXTMjP2fLUrsb9fJf8kAPL4PKkydk0SRhNQi5Re5Ux0Go6MZ
PVxsu3wcFBi3h5CrIbVauEkjb4gPBJ+LMPjZoTIBO5lRCrpYZLycy6vR+uIwh2R9kJYqkfXaT0xE
3ZVkc7usDJP33CYeI1dBXwjAcYTaXUm0t98v6wbgbwL5l4A0piSjFzEdcR98nHsoaIuNUOw/F3Iw
SopwJ2EJt/H4FAwsH/ukupNlBJFZi/2doYcfBSTi0dKPZD+cYSPQsCpYsS4TYzM5uMwqSMbZEG8n
hTbmaDoyTH8JWvPQiqohgK2707mNNtg2KRkHvHtidN4Fk5dd22KMk4S9cXaMn6IUn4BJkxWREJTd
UJf90XouzLI4VB2kEiJz38w+ukQK1cyP+eEXlDYO6QFWr1gFoiwfRxbCa2SWFDmIiBwUQxD+N2EJ
CT9g8Ds7+afIjPWo1EVlVm1t9EauHCgS0nDHGIWA6d6h6Bvw7iWxJtadNl7DKoRJiYYpRsvUK1ET
2rYS7JvHoaokTwnapwy0hyXa11yJomolj+qYS81KMOXp06MHQcO7GRtmAVU7zrQhyH/9U6RVX3MX
OdB7+4Tg7Y48Pi50jIzZuM1j1lV1nPj7qp6ii5WaD7D8wSgTGrgzQZTOcERfZt1dVFgF/e6+E1l4
RpVQHWYcfYRFaekO29p6SPRbgzE9gmqPtQP7mkWqx49qj0MsRectLI3ZsRW6rM1FNa6ckixMTStv
wgRmmmi4xYR+T7AkzUICfLzDBJKJg90V/IqZj1FVPlVO/MO18lOgJfCTYTAS7tLm4Eu6NztvmNbb
1otmZq9YCVDUhe528u2S8V6yM3W2QG4JlLCbN5ppUanN3mYqoE0mLgD09CQCl0BSooGhiNzlc/Gl
ZyUlTueJhXAmEh5SMvN6LfkwhPbswH+dovE2A8gx9do9y8HXFmkwhgh/UXfasR7lWbeCh7FIjtNA
d1oH5mOYo2qIZHAfjO4RbgYmRDO0N1aFRj/1/HNh2i+BOzzgPpsXWZglkAmxDxB8+N7Y/u0gk3NY
yY0ZABjx3P56MOxba+LfkgfxRTbGHkbZkq76EAJt78RwrDTnPZzaR2XNCAuH9BrnOornnSXzRaXH
LCyb6dnpPG+bhFq+SGN0KhxzqAdrjSGlitgIxp6hYiyfZZMfLL+/Si1zH+nzY1cQB9OTlrasrWFf
SUdFtJYE42jZLekx72R++js3zehLhbdV6WBr8iC8ddCWMEAi0opwC+9mmz1iUuUJkXsAbxuw3iZ1
qjpxOaVgwKR2f1N2uC1MiGKbrp8uoT6ht0AWovMr4Ey6WJO4Sjr/wxFodSpXPJjCvrJsSKFWx+Cg
nyrGeuqIk7Q8fajfmX6xyVywG2bV5IuGqCLfcLJdzvrLyFrWmXkrloLnrZvDO0O3390cZU5oelf4
sAPIsJq2wat0a4AUIqYnNQjLc99NkhjXBqMNqL7VerLITMxj01YamA1owy/ZzsFdUs802NK4L+K+
QB3qxh9VpJ0FqW/QRzkj4vhpiHrKumiXO97XjNx/3bLhJapGJzqopkCJG0dDQ9XM+VNOJlN4NZsh
dbjoIeYYztHx5L2vON1SEbvJy30FuOKzWe0tAG7zcwAoZuH2zbtotXo5d/LGjrNzBArcAgk+ggY3
FCPcKuQhm016UzvDd+1cQIJf4WBnsqwI4wmocQ/kuA6+gTkBFHJnYB/Ndu/eAlAOr+hA7uJjosjl
Kepffpr52YcM2tTTY+4Ml2pIbnge+CWAP8/BoM8Ok9w2pEHt9QK+IXvl0W/vCuDpBphk8luPtj4+
FCbjdtu5EcDWK98umD7zVisOu5sJLCiKzQ7XySRUBl57oZstbnAQsnG1A9e5k4rt7gJ5DxOBMFVx
32H4skT8ZsFXyX5WdHgtJWvxmxevyPEEY5l74mzilZ/BlS8VYT7VJfI5RZ0PRyxRikP/b1X2e1VG
hfL3VdlGMhP4q5KMr/qjJEMxLoCb4D1ETanbVGu/alfQIlF1/cSf/KHMdH+jAUR8aXxbFb+rtZ8l
mQOJEdGK67gEa2PC+Ecxbu7/q8xU2y4fQotrOAhpvnFqv5RkaU7I1dgG7hll2iFs6764agdzEssk
76uKfNS4m7fMHBrSbvNwfCx9BREs/UL1RUn0MlrNHQGv0ypqChrPttsy3l/hOcKFpRcmM/kMhLKf
vIN4gFBeOPF60gAwFGQvgodnLpNpL+WQ3xLb9jR0pZFeWnLT7ojU2vnDiBocEjnAaTbrsXZmxOgN
kIhrIsK08GWi7bkJgigWN1HGfMcpPIxlNupFayFQupQrJ8j14l6QMrwJOKeGdTMaQXtda00UP3Zc
xCQ4p8NTavoRIXVpuYNwlExcwfKKONrD0Dm3TmgzJ3KLR33O7jubeUkZVR+mks6IqGPzBHZStgnn
mfUeqVhOqdk06yZqmPGxA3iwtCgItV5baTlHQKgUI3ZVGStvGthjF669Zk6opikenriUHb5zl3oD
bWWF8FOLf5i+e5939qduJ/G6yfmlOF57cS1a0BDFxm7g+8O+rdLXySJHNB3inT7jR6uVrTDPvPs6
M8wNGOuChQn8jzExdxFi+qLv5SofYsAmWPqdnEkNgawzARwpgCvGJBwc08GqzEsA8ms5WxEbF9vc
lSmmOtNLh6U/jeZ+6g0MkZ3+Q2cE5XVNTpyyE6DGaLZ54b+FUXkUvnsEYqYC7kngAnp7RxMKY4MU
1DHQfjj+vMn0cY9i/xxKAewrkKtKglLPC7U/CqqvttQggseM1jot/xgif2SNVTzzSIP99Xt3J1Tp
z+N1sQ34G61Xnlsn0agbgxvyoWHxEbfBVO02qDT0B9yoC32UDIOcvlnyvEGCK587QA0LaNWHlk+w
bboNbTkDGAcRltDrcj0X9j7vp+uxdp6Mpj37bXyftNAAY715zMPoVsXFovPotkYotD2HNhTeSN5O
bnBPiNhlrqFmDAa7PmCc4cKP42llyOCmC+bdlAUaO1DtQ9ZatNLtKt1ODpfUbPgZAjIGmqHTsBPV
7RXpuPOhrNzrhIDjTelBfKm6wlrmfdYuans4IWj6ATj0EHceFo0mvhJJxapUd4+gNo2t7sM4nxBG
G7wAK9tI3qReDZvJb699aT/3WqQvedX7RTLleO076wvM97xIq/K2myvogS6CYMhsrquCxAvmgm3a
P5jDXOw0m6czUCVdk8Wf2WTOXI7uszM4dyZ+zX1fApnIpLmnTbRWluedop4QQmFjiNVz294MdXId
hwK/SnqbZ/0ZNKOGwdUl/Chhl5H7N2ZY1BuR0U8M1YALV45qOijuB4PFsy71r8C0X3Ur+wCJqeDP
3PNhSz+hmZ92oz02iesv8zx/zIfWXJs+jFcw++Dn8pdyso+OVk5OrwSzQF5dexQXS6HTUWaD65ii
+t0aoPSYDg4HlS3UOfWV0MZ2Pad0V/38Li3zpfZ8a+fr6G4r372Zu75YeW2EskkSIojEkVlsNH0Q
T9IAemzvoqIFTFTp2W7SyTXo3DThrLVeK2HftTnpzQOZrRujC4aV7NC8J1VVkFajn3vEVmscrJ/9
PPmrwqGyTMx+1TNX3aVpAT1Fsxlugc9e5Dod22APH9iI86XRYG/Rg8E5x6MTE2Bej9i7QQRaZn07
FBQwk4fEziA5OI2Lkc8pZh4JYyR2GJlPSVSB1Rn2Ux685gWw8hwA3tp0mX6OFk9rJZMP4RZ0YUEy
r50i2IS2Ne1EIet9WdmbFD3eKnJFtvE8Gj/Ow3lbJPWrBBhTwLQJh2BbUrJfIo1sdqeMfUJgBh1q
dO5vRq1A8k241gUGHTPX2tgT/H1CToCIME+8LX0yoVEsFZYBzMBD1HU/GEiz1ADtdDABaC4d5FOI
fMNiFxXF/DAPOZ/NMGkbB7nkQqO4X4Tkay+ctt8TGI3T2PDQWDtkFmf+IfDnIyjuHFA2/U2QzheC
fhnYu/BaXHGaGzq9qEOcSP1/U3XRfWFisgYRk20qqJ6LLtLkMrHaD1Ej9iAfw9uOHmb9yUCNQUbQ
SGpCdNPG5k0RzPoqLeN+W1XzEa/EiZSpFXrvmx6FwNoicALbAO127Mqz7yQfHnrSrAkYSLg+barQ
HCK6HCJ9vGnNzhyLLQwh4PfDo9Glb2Wq3WQyvkuJlFoCPhPrRBpM8OzqM0OKHua6vWktGyNFDP2/
I6WS0Av9pYrpvvouPgd+h9bR0PvVUEsSDIL0WHgYM5IxCR/rKFshj3oRNFMLk1fXzfIvmbcvjsWk
PWrP1bfzu80/Asf010S4s1jIs0egInANYnzdJkD7Wa/0FUwahqpOQJJUesxQkyxt7lQWrhxghvE5
es3O7YKTx05hq8fTAQeBv6pTbZE4xVM+yTNbRdYuU54TYWUv+UAPdWMcnSz/oVXe1zDSPgomKEWt
7YIm+QR0sGm6st02RM43FX/KXPRRT/TTHB7zhF6lY97apG9+l7yTU62AkDr5h+6eYFb11HjhshHy
MDcDnVvKx5PTqSeMfsaZ5zkGvrPBWvpp4dRbgHy4i5OQ/zMHOCD5UyxZmNqYqBDVevGWyu2VCmwf
j0CsqXTw54vD7JT5sqvia1F7i8AfngyLbw6XFoFPckyZWm2tvIVrS1yYG+A+QIbHehEpYvFoWFx4
fhFunchAQ+NZZ1z0D3JgBVA1mLw0ht9V7J9gWUOMQCLbadgq3MSBI2fnW9Id6UtJkxHGkC/oLrwF
MpNwQyQts58ZmAEK5ru8r/mneQVeGupOJv0xAhpLVQ9y71rRYZiSr8hw4k04eNeTkWzLedv48HG9
rYQGa4wnT0vvo4yUBhQq+VL3nG2S9GyoXQoZa363vGEjhvDdE2SvmCR4aIFOUk5VvxE3phLpB+b4
ld7LI6/PfTgxVqN/ezQqllECEVDDrnhnhYBgycHtiT4IPKu6FELmhH4VsEjXzLcN7Snqy1JfkvLW
yAN8g0Flvgy912/KrNemy8SnU+hOrK3sAKd8SDBHvPL89FCSuLYYU9hY9Jzb2Q9p6Etto7kJjqZU
GzaxXa7sPO1WQV8+kzQ5rwuvr+n/Q4Nw9+TBksXdQCrKBuf6V53IJzsGQJ5TeGlB3G4IFtpHrv0G
gPyG6AqMGC72nShu8yV1F0vy1EYKNfQGqTrlyHUCCyzVudgarjQ+P/XZUZt3Pk4aPzrVEptkVtmr
sXXPfRtf+517UrK2BRE8b4Y/Mfe3T+wUqG7K6p27BXgtWzRiN8Ctxfah7fRPlhLFdk50xNg9OSF9
d4NcHZp6hGWFVmJBXTOsRFD8kATBWODCl4QAz5u6ESe7zm7NtF8XLcpyJy+HHefuyR9AQkzwrPCc
NLuu541OTP5Ch5VRamfNomFtA1tXLMgg3lYm1a5vpK9pHS/t6DqtkJs502IYkcZJvJa+158JriEW
qGqvcyf5QY4z9nADff4Un8tQPzuYKrOiP9vmtWBUp831SkotPPR6+ZQO4b6N4pfWbR8qv8QuNOtr
QuBH4d5BgFhS956n2nyNK8jojcbJmId7aF/znt3PKz/gQ6Rae5dacB21FYKuXHu187J/ymciM8o6
OY4scVFXJCUCqhm6ERthyFvPVa/DaEgvw1C8pZWH5r9peRL8l8wpiYKPnvKBGei/Df3vDT02779v
6LfZZ1H8xYqFL/rZz5vGb56DlvP3rIPvzvyPft7EN06kAj5Hx1FypT/USjgtKWjxSv3csfBHP/t5
Hy6RSW4C/4GmoBws/0CtZAi+03+LTm2H2gYpFYIl2/42xPy6YimmxkWk4/nIAiR5vo4xV4g9/y97
Z7Jct7Fm61e5UXM4kGgSwI2oye43d8dGbCcIUqLQ9z2e/n5J27Is67iua+wzc5ygSG4CmX+z1reU
e87U8tBY22HW+C/MLOsbxKJ47TJlu5vx38nYO9a5l3BdJG8Jg8aJYqE32mAzWRaTpdJMR+U0nPf5
aFbrrvduaFO/kgAcgSIEi90ZrGYNMDLoF+xqqxPb6xLfO5baTovSN7smL9qJi2MQDzeJSvyVbb2i
39s5Oqtl2l1Iv6SreIXGPGzaIiE4G1RAkYEIdQhJFO70aTcJVJ+5Jt7ijJAiMhz3tes8lcQRz/Xw
mfPwhPcxtVXwtXz2kPi3KsWYof97PbmrROUbx2hYOQ3JPJ4ZjoI/yZdGL3YVsci9ykceVFJyYmo1
ZlHSk3VUSusOQe6qKeZHJgYnMt4UrJHk5VplMBuMBEKLhHOzCza1ymkm2chZx0Q3u0Q4s6MCC2s5
1JHEO2fEPKOtpeovLuzOYTFlvr3JVCZ0ruf7QaVEf3DkBSSZlT4o6p5Kky6VSpXeN1tKoqZJU7rJ
7GTf4J1Z4FD7MmW9izCBPXVd+CxXoK+YwfSKe3ZA4CS+ktd2JZCnodE8xirtmswdbAEfCdhDNxwL
lYo9qXzskaDsmcDsTMuHJ/6eh9Z+mTN5sgAD4AEAihZf6dK/G1TyNoqquFkBXGHRS3paxzUWJSyA
y1+3weJjNTwGKjOscS1OfFbHkeuC38GY650MDH1XTlIQxcXZh9YlLvW1pZNuikveu/PJh/CWKeo1
ViAF44Denqwt43srXaXdGGzFpMCjTl4bRydNu0e3kC5ITqyh/x6HH8ehSj38z8fhNeSDn3nz1Fd9
Ow/x5nngMixHIE0mVua7+ab4xUIBD8TNwG6nqySX31bOSr3J/4Uj3FEK/g9e9B/noe05BoObj+Gm
yqf5B+eh6fCj/XAeIsQxGNp7Lq2U+YGZ+W6+aaH+zk1/Ehc7HQiNifqeNGG3Sk4xLFZrbm4w4z76
uLTZ2aTbgZJZi8JmkSEksYtg6/non6JkvK/bkmyvAhc3dlEP2U8Hx11mIzObZjV3O4ZNz0UAzjhA
rx5cBNLoUxE1Ls5hmnNH0NcljQR8Ps1fUssjvbEj+NDy3WfHAgLtsnHcWEP7TDbADkpusDLt/joa
WnNd5RpmdfbNc8+oAxvtydJZ9HVO+pBrOJ5QC71HJYq62fjiauDuiw7MbW2Md5k7sqwbrWea20fy
2OQCow5RcOSn9TMrPDlNB1LSb6WYqFZzQIqjH68cmzHFiJrU9tm+9nPzue4FDhkKRnLao4Xv40rO
whqfQGF+1pMne7oOG6nmhujih3rHRaKC2jncmUxOFv4AqPwL9DVmuyrNadhTjbXeq4gsv0eeWmf0
4T2F4pgnOxq4ijxrmq4W8fda92k+UBSM68Zw0w3ac1BNRo95TkY17K9gaG+obbkJ5rS+6UGTbruS
OrqEZbUwlDy1qXFrhVUcEIKdgA2pCLCaa8TqXQLtuLZc2kqa6VbtnEevyAgj8+2tdIbphmeTjVgX
66t46Jch9v4rL2Vg4SdWdPJtPV4NXtdchUHvbMeatVZuQXJYVeRaIlkyMSIn3VfDIxCCQWy3rCD/
71jIvvUtfz7D9bD0owgFVobmNKJk3LEoePe0wsbRN5CIXfKo1irlQAfDjFMhvXbNgLUdXqQFyZfR
2kOPurVSk/1839hbN6zeiRP1tvaESbKqNcJO5gIkkZviIkXl/+oSM4gFLNJ3vq5SOnUa15wstoXJ
SV2vhINgMKu1/K2ccmrShs1UYzfEBLlafRgIeTsEQ1dvyaVg6a675rZsZUowJyQyv7G/RqDeF9YU
kqZpmVsmZhpT1jkzt7FX0jZTsLyhAITn4qs4EaUqDrJaokO0egLwBkGBz61NvGOXvvHOBVd1bOi7
YU7ydh3GLgX3aLrjxuvtOv6agq/duUIYN4UKOIQc2xxaJib1wSwZyKODJf4YYIKSxhIXndCyVQ+T
BhZAn3045cBq1004ciU1z+SzPaZKbMutQ0oSYhPIokhxYx1RroM6V6DSjZVcd/LQqBpKwjuximaO
z15u7m4ipfG1Zapckuh+QXy/072+dLpPogvK4BGJ8KC0wjaiYVOLr1IrfRrl4GxNpSsGK6EOEe/E
R7HvkB4XvKdax3PRZu4nut/rCpEyvn81oS/ODIE/G8iY+1QbGSCP1+1cu3sXqXOB5LlBDEf6Eqq9
NoPdiyy6jydMqn6EzpDdH4Lk0UJRk6NcbJa1G94Gek24lVJaE3NaHWyyGccYizD5Sjt2ilcJ8mwX
mbZG3adSbF3eFDTcOQ/bYlK6biv3ojeSzPMXmbTxLjD7aOFYHRy6yrOuJGkC7JnJcLRgPngNTVmm
Q1iXZnVdDNqdRJyzjVn4XAV5x6tMuNw6mQaXH4ksiElr5aYcOZP8YghuMqici4bX5aZTL8+sQ7uv
1TdtS8IXYz/ytnpTRrdpUJcrF8UoqZc1kt0Yz4hmY9gpLTGt5xhBQNyRPaj7zrQduyle+ygBVgTq
WGtvjhnU1vbXZgrmVWLNe6yEFz2vDpkZH+1uzNbmoBuoNs10bUKp2CRWE21Cx4bDQ+reivlNgVtp
tBnWggMJU4xMUWRsDXPkqGfXuwsz3lpjAJic5ihoZahG8iWnlF75YgtVJ7ixayiNYa/ATOh6t8hI
wCbAH2CL32LCzlIWwc7Q/dv5/ZaAQfnxn0udfVa+19Fr+tfmT/B1vxc7gpgLRRBEYvHR4NF8/d78
CYmvEGUdfdcHU+CPYsc0f7FMChOsgHwhNRLd5O/FjvELfFt2r0Tr/Ua5/QfFDsvhH4odWHQWvkY2
GwYdIIAy/v/vih0nrOp81KrpNJosGDciAQt0Kh3Qrl/1ec5tAgBavS1otFgGzbtCJsmQI5uJ4WpL
CgHfYETjouDY1aJ3poUpjc8BNi0k8P4rHNk7wmSy6ynhSaxmaWxIASNc2dKbUyHl17B04cBnOOZE
rl6HrgOZ0uAPbznosCAL+zgzJtlredoSQsGKYlqOkoVtHAf1udQF2zImj6zNkgOqiHzVlMO0qW30
xm1FvnAKo3UJEpZFIEvrs9VPV4kdHd2i9Q9E2SSbRPMY6NDbkmNkyBSLN0q60XNYbKD8RvszJkuB
onZVjXDaK7dDHm5pzylM8VKO+ZUTdp+ExADgZ4znGAOWy8CbtHMdy89Djm+iKhyx5Sb+OsfxC7M+
FDlWL7L94MOwKa14umfE7bOTCk8ByJp9F8bvbTAbz0Ydsv5jIb3pZVqtnCZFSkTzAhTGyz38LL5Y
y0HXrqxy1I8218k2Cg10uHUnj7Xj3Lg41e8gY+6HcPqklSARCovLXyfq2pHsKkDcgmkgF53QBLJF
5oSxq6UPnKZToh1F2Kl7rA7t574M2LPqZsJlOQm8AZk20UPNdS3rS8jfrjc4iU+TIEligQPBZ08Y
8y95S9fTAL1QtrBspnGz92U7GZ80o0ujPTXEfFX3uXeJkDBVi2J2mYd6fAiEvzIaZTTJrdYLLzka
bIlFkM132DfFuPq3Ufto1FTYzt+cXvn0ExmK+ppvJ5f9i1Qhe6hu3R9kKMLFL6ej/HV10xEQj7+1
aSraU4IMc6Rj4rJmnvTHyWVDFSMFx8W5hzr4H4+tfmzTACt5pvoZgFmYEDWVCe+7k8sM01JQR7fn
LJHhpijSaDUWGQknN5PRz0z+Iy/0Z7m2wl4PUTT1VO+2aA2BwsmY8mFpTRGRUJUbVdMFZanNtNzt
BpvCRoyy6gh9SENzC84awQt4vzSCC6T5cW+sNN8rckLAZGddO13n1fnK0cveOoy2PTTjUmhV3Lw6
MzSPGeUaCBA2AmPdew2QoLDexk3pncJKDwkaV9XsMFj3VYH3w0UeVnVFQvGTxATeVEN/IOxy2qAd
yc9OmnS3oJiGNz237RIBbxi89VY9btJGz46RTAoMKoV/jjXb2iDmDNE4kOeOAcicboRj+Hu2VMOJ
xL7hLNCurWp0EsWAAob9h1G/uhETm7RlPbIMWbLtQztuPxlDxTolzO3P7px62z5MB3JpgEmiu8OJ
ZJm3lNkpdTZCkrTTCbJ3BaGGdtuiTpD6dK7ROW8S8OfYWART/aZB4Ev/AM5t7ttd5euoy0SJ+dvz
QuPFnMv5OpxJR1wkRme8USjZhw4f2X5icvRk2o1Ja2mw7CyJ05hJYLt0XfKZjzTfE74u7kQT6eky
hvp+sgY2wTbul/MEdQxXg42lKmqareel9TqePfc8k0+/y2iokKaAaguZgX1mi5IeEfw1D11WdFAt
4hwpeWScsGXSGMmwSdA+UPzirpI3xNRoG86+5tqMzHLFYqM4sBvtD02TXLFinKFBa+6msqfx62AR
JeiWWXA1FpHFzxY7GumHUr8iyR7KeTFR1bUtR3g1ufm2DBBfWCipF6NdkyswG55/ldaafECq+IiS
3Dgamlte+PH9jZbA8G4Kgx1sXeuXaQ4hWoP42gcRa7UCfTIhMOV0G9busOqboVpPUTeug372Nw1y
9+Dfk/W3uvBvCVWH9/onCwHxHZxKONRwEoKiZNT16/H5e01o6L/QjYBYRKmnslI5j3/3XHB8fkSV
CR1fMa7n72pCi5PVwyfhgPQXEKP/mcCPn+zP8y9mcsBtWS9IHYnfx3zsu4PVEWWgi3Buz07joHJH
HY0eOzTSlVNZ3tbp3VemJMOmUt0TEMXY0q6yxu3UzCoy4ufIQHhyCf2iq/ZMgMsMQnY86GvU2p1z
XVp1PVznQ3kuzST6xKYYwSs+KgfJrRqtwaN/MVObQzyHS1fqPud1QOMNWC5XR7xhzeGm/XhaK5s2
bW/5Wob4WrRO2jxnIbrmEvfgbLB0NnGNRs3GyMdIXGXZMBd3wUxxs43gOxLiBB1+65kB+wKH7fbY
k/1YF0O81RImSoPqqvpEivUwVvNWT2T9AEGhE7vEm+S8NptuCshv9uj80461N1WzrzHNtkoNlU45
y1M3NSE5mUYh7yIpa2wDTskanIXLVpDy2N4lZorFQFplehkNGRrbyuG/p6ApnuZBTfxK5NcxTriw
cPZI8kz9X4jcb68odcd/Ln4OUR40P+nb+KJv1Q+kU8eyeRdBLP/lHTUFgSEMsFUsMR3V76+oJMyY
/znUOa78eA+/tW2q+OGtdQz6QIem7x/t7Bze9R9eUdpDBMLQ48gmwRv159pH+GZLGIGDMXDWzPoe
KSqUz2U+ZWIF+bjD/cSqKTo1bmJCLJEjq7UhvdE1c+mhc8vQ54xttGwd3Wf17soGalNRz6vJ6XGW
dHbDC9U0/hXDCkQeRVrMyU2B2BZWMJPf8GUcDPDNpnmeJBZdSyl0Z2dELVmFb8wLGVUqHS/dbQga
TFuOSHzJAUwIDcVNPyD/DYX/xH2NILggmXtapR9C4QTA0jJT6mHGdWgHoVQ5o1wW3dTmJ0ub5G7C
6xJZkY9JJB2YVpE04ud9+WYAsgqgFQBDyfylKPMNPthhWWTxroq1XQR5dTHW+ZtOMCg1C0QTlCn3
UaB9Nk5lPp0KC6eM6fDxpDMpZan/SVTuTVboaw/reDzfiFbeD33zKF3YVajSvNO/XchHF2Lx6P7n
FxHzXPte//VNVF/1+5vI+pwLURiU+B9dA+/bt9tS/ELKF5pv3tLfcE6/v4rsyLHvscFhqCFwFBGw
8PsEhebFtNDPY2H8jfL4DyYoNBs/vouOigbi2lVeSW5LNWH57rrsjdxoK82bLrb0mo2upfm6Yb6R
sA8mpgPnWjza6M9tRMS2n5enQbn5Mntru9CDm3rumPbp9nHMR8Q8MbqzDh0plCoIQJPJ7SVaDwMN
cFaE2+WNYdUEeZPJeMimwGZIWTx5s4iXmq1/zisWF9zcN1lUsK4dinSllYQu40q7zC5r6rzooQmV
DvLjgpRCEiYVTzzg5MiMG9bXCJuyoVuxXl7rdP474gQp5E1Up+wlcmKeZW4vozK5tYT7PiTVXdFH
xzJToCRdqZdHbbwKlMpnbr3yonfyhTr91qv4V3yRnCxXH1Y0F6tmzFNoC95Jt/hoTCNdjEF/oyfz
Q9aV915cHViovXBcbfFO8cPORF9iuztalNCQrOzTXLpfZuIVCT9NQM0b/QGge8GLO1TAoBHihOig
PMP/nIQmcSpusYH0una06oQC9ClW6Dc14lpGYVavB3t6myPjLCKyKQe3vIVYCckvNiv3ujFdbdoy
V5/w2fH9fJ29TgUBGTYS7PRia0BGhi27hc186IS3EZCTZ9eN1rbTH3KqdoQODoq3ZsJo0zXl0spi
JBEKw+wFsIYHAzJzB9ZZoZphG657gAOrZnr3Hbk2DCytBnTnacq/dk5QrBwFfoYeU2yEgkG7UKH9
epILR4Giy7i8CSFHuwohLRRMOlRY6ZoGCpoIhk+jfYghT3cKQS0lkmsslZu52iBsVJ0PtiQhb8Yh
eMT/CL8iaw6BAlv3CnHtKti12yCqZF3fokoChe0Ar1wXCo9dKFB2pIjZkLOTD4Q2LG1/cGtCxMFr
t3C2dQXcbiFvOyMI7mbUIiim6NixzFkrNq3JugysCOx+py+wCJbYnkB602oi/YcIzerQ2Blwv1uo
C8sux4rojzPCj4oNFSAgIm6GG26n59wx/UU+Zu7aRiiWSWPHDhoGdeBdxhyyWKqBdHBCsdcZVC5k
KVp0b+gk43S8FKO2rwtYHtOQfIap/RhneP2m4Tq2OhYnQfbOIQUrJ0AZOrjnfrD1dYw6gWVW3hO0
QA9Yml9iK6LNLcOdmU5vQ+ydkQPewQJGpW3PzylWP+z0drBx7TjelEzsFkhOnpuiujECJmvkBb/H
MzYNFJXbucPLb6Qa+UmwHRmQRXdFGNA/YyVba2XymA/Fo6iV27i3kOXHL7lkdEe8F3sm4IeA980T
GtmHuNYODEyuXC8jeWS01zIsr3xGk8tOpT7YQiBz0Z5b6DhKclPU2DoHR6GbA+epnTGaJYHp7frS
8VZN5rFzFjx4FTK/i5EUrraq7Dn68u+1+HEtGn/r3T+/969fXv96Laqv+nYtoqJAIGHADzZMyYD6
T9ci15Ry6CtlmSO5+/64FpnzI22QjPwd9eV/XIt4+nVM+zSZTNQEZe0/uBWpRn9yK3IXoioFciz5
Kf58K/pdVJo2+8NLlF+bk6OOsWlYjK13P84GC/oJ3ptn5EdmSrfk7L4RcqYtHW3GtRGypJtwTyyc
1rtqEu9C6GKBV1i+QdM6pZ33MM/VPa6Krx3qqUqTatTnPKcl3FG3kXh8B/o1IzsWiAmWPYZQ3P/m
edAhPaUSDBQxbA8ykPPGhKdFUkC1NKgnF3g0npLUeQim+U3z3XzpJ95uqLr7JGqv2aqfI5eWUPfI
rkTdURQjIT59i3C3R2WsNQfhxsSr5f0mGwt+Z9zvrolwpNt3LmQPIuWUvHyTh9ojQmwwGvYCHfs5
dQMgBJiAcgedp583hHZzB8PDYN0AMoU9xILy6EvhRZcmQW0fMK+8m4nDjnrcyaJsgCyNkkmSiRSb
XhIShxavPc1+zubEYEfgO+uRidiVgy1iVQ2iWWkgz4lYIwxh6FdIS+yVR9SxO3gzY7nuTk64ROba
fiCdvEqWQVRbd57TBTCNCCZhG88KppnvxTCwGu5djD0rmzMtRIUB8uQ8TphP4f4HqbViSMgOhCrB
lThDmmmrp+NuHnqoAI2ifgT03brVL52ZRDPfFiCKyn6ZOdZ7GdunVG88yLbzC6y+EBM9D07od/ct
W+Mofa99+6oiGhBsTbMneuww1k6MsTknEUzX1mHCIlU4IBB0tO/JZB5gKT5OFvrFEuVzZk+vwLyq
exx9t0Fm3QoBSLMc9h2wKnbZ/i6yAQBrkb8jcwASVmUepg4MrqeVzn7SqETmzH3Q+tpdyErbDJ6B
lwBJXROhFveH/eyh1tGLkjiXIF95PYtpCrhtFGGaY5V2nRv+xuxg5jJYBOjbPcxp+pjaxlfU6ihG
4uqJVc0x95P7yQmfkT1co/aNaKbcXZLPT02dQ+Uqwh27OGeZYqfJx/Yq6xye5nh+6hEsghB4bRF9
AL85eHG0wkb2jCGuXfnmgBKb7fQirZVBsb4PG5TeZQecWHeSQ4I9qQQChEf9ufLondgpnerSuZ1D
Fkim/ygmbYS4My2zrnvBA3NrpMXGIa3NxII/ljqUADkbx9jF5VzJHHVgf0ahtEnyLwlrua7H/Ngo
z06kTDpID1cFkqBI2isXwO7CQ2rD926eWP6NS18arxniTMTfSbvUqY4FAQ8LoN2f5Iz/Gt6Xgw7U
+ZTnwcGt9OfZDU+pN96Y5CQLnIkLr/K+4OrcZR7EB4naAksTD6D/KY2Z3jALerdjgkOiXnziMX5y
WuQ4wC/ImJQ3jWcCpJ6YFmvDdeFjJ8waQfZ6YJA27uf2IpWhB624FoBEx5RVp3ebJJwrIVutvd+H
+hoN/rDJpfc2+u1rklbXviBvE8qzv8Kk5C+zqfLWdWwfSrexrmcTXhGLPhjSfRXflbnA+IUTIkgw
HhXF0ZyDN5ELQILdtMt8T1u3iXHGnRmrkqPZTKmbb7ykfcfvN687J0xQOxA1ToSktyhbenJ2PmRt
2ySp+1Z9nAW0BkNg/SOtOmxva4IzIYmbezlbZ0IAD0XGbxkl1QrrLD74WbNWUxCs4jCDMuVY/06N
fx1JqUHRf+6ETzCM3+v36SeXPl/33aVPMgEBciqlwPigW37fCxNOQHizJC4QH/gfl778xaNHdj5i
fhBHfmuEP2ZSnsP+zsHRrSZZ/+DKR4b545XvsbPBZ+4i7WTz/uOVn5XsniYsIOfMnPsNo1sL3Kzz
7DAyKZzu0WCEgvUNSssWxPzaYMDStcG9ryYuk5q9lAxhKoYx8giu47M5JPeZmtQINbOZGN7IFqTK
hKkCngZwOTZ4JXYyGzvsMlSzH0MXL5qaBgk1FzLVhIhC3N/MDI2GCNG4H9RXRLfirFIWCKwQOZaI
WWvxseCRGKLqdcI0ga37tcZEAYXcWMp2PLUf/grltCixXHSMfXE+48IAxvsCjS865KXw12Kw5UrH
tEFo+4uuXBwWdg5f+TqkCwkEowd43TPkzCURmlAmtwnqtEr5Qux4uMf1/Qw/dzdgHGmUg8QxypXX
YD7DXSIA8ABN4maNzlY3LytlQ/Gj8EuBLyVoOccrOZy9CMdmERl7C34FhzYINAqbu6A61c6mbJPn
Svld+BG33N7wR7DCoClrFu2HO0b5ZHwLy5yNcwZWIuUPZprY145SuWsK5bPxo249FPFtSV8llRPH
Up4cJN67qki/1Mqt0xpNuQhJF6uVk8fG0jO5HlJ9PD66cvuEOXlByv+TYgTyGRU0dkBwkFO/6cor
1OjyGLrzqsBENEq4ji62ogF7EXnzZ8JtVjJGYVlM8XEISAuzwGLY3JYoPyW6Pe6wXPmWgpkOUSov
U6pcTanyN0XK6RQpz9Ok3E9tNl97rfNql9o+0PBHdY1Bdw830DCmm8GReLyBYsrK/DxhbF/CW7nN
RRavQv5yAHju7QJZVcYWUXeke6w0sU/d4lTG40ufjQ9h07yVFXs2MUz+aobRCh2yi5dTjYUuids9
qHkyCqrksYsY6MyU5WoYcePjsyUoY9xlNHCbGrLhYp7QACN1N/E/QDSGcJgVh6IsL1YdbhKp43pI
cV+HMG961yCN1byL5/wlFdGBRPJTMRs9ILn8ym/ao54VeyPDmZ3q5d7t3beYtaoXBltpMYSRbvNp
aKK7stPuo0KSHVxcdbX1jlJnn+jBRdPzl7xJ72WCYTWdh6NlIp3silPXJyoFb7xJs347+hjsOgmu
Ydhhe9qL2togwt9VQXgVWDq0KkqxMh0OQ6Nf62Q7b7q5Xvlk/Q1OqOxm8yaqkY10qGem2bmqPePW
jsoDyb07K4FzM6VZt2cNf7FALjDNuiB7/dxEE1PvwLhriuYRv/eBsujUhdYqDKbbXE/J3OKlT9IQ
E2D0GCTOFn//LpORu8cvtpX9AKLbaU8mukRuNfPGioM9yq6bTOt9SBIVrvZ633v6kz5SPMHnTFee
0d3iMoGBjR1rdhhD5HP21LUm7lKISlO7YgsFOgAOnpnKFyK2toMG78bD5Rn1z3nd7Rpb/zoDBl2g
9VvPjf8UYfgB7z5reXZrRAQXs8FNDXDfUAum0TSvME7P61qmBxyCR8sjl6ntIE0BzwzD8GL1KclG
dFpEH58GaKvkXORvPU7GBZzKs6Z726rwzjXUQgiR4yardLGObPEQie4IZ/7RTLQzUM27Wf0JTdd+
g8TL2xisTWNgfKA9jnp/MYU468lI4hnhS/U0vBoasZNRGWCjq9BKtfwtaoE1uwuibeVmLyUS9Mkj
DaWNVKASQdVAv1aNFA8Oq+8KyWUYxisbiWZPrvTSsD45QbeOovktTp272W6DY25XJRMb/7Ykz0zL
dcJ3wU1Ys/0CPnGLtmFhmYO9i1tprYd6NHao2HmXg/cEJSaGj0JnRjgdBauZjcAcvNEjvIIV7DMe
inJpjAxxZKDvmqx7aoborspnBLvBJ79udrlGruQ4uA85jDZ+Z+yh6WNbhf1+tK6TJFnFek/VLcEU
ZePWtorL0AakkMzNir5np6UzSFIXEbtE0SV2deDx0YiLhvZuEcJ86jvjjuWHC/+QfYqLRWbRCxhC
pjw1Kff9Om3gfq27oYoe7CwiAsyXzsHIIXRmzHU3YSWRqSMzjtyet3M+AsVnHlTzK01TuYN3sHWC
3Lt2YS5RB/b5etbAYxkkU5Kk2Y+Ys7M3AHNrSxKyww2DO9Ql3Ks0oHUyRgRmtoP9hsBG0XSL3uuv
GJbR2GnT17xu9jZv8SIBN7Y0MYQD3RiZvdHN9EVgkAYj65UTUpSKsHG0RRZLBqBZcBxEW17ySrRP
MSTOkMqy1jadO9g3zZDPSBfmEgJBarnwBjJLrMthTlez0I6DWV/1ZXQNUGRjjaSEGAyOK/82qGqE
Igb6QkBkRuoSRymqJ6AF8dIJhnUtyDPok3HbWT5e+LZ962nYBRlilm+e+mHikolWWddvWp+C12w+
lTrgGtcJXzlZH9gd7fwhvOj2+O7H5iGb+Zi8MFrzIBXIQ9i0zfaBZMuTH6Xmkiz5VYzCUCuzq77j
iq6Rf69kDbZax2SfFLdkgqF5zuZ9GcijPUY7ZsdU+eU+8wacJHrCXhrInoxN8pWyuxbybF9M04rI
nk95OuTE/SUHPRr2uq6dWGQuKYW2xljtW99jh424yKkOQdk+ApA4pHQMGPFAj7mbxC0/K85CnAQ3
o0+lMNnlevbDNeCPJZ38exZ6Ry1H88JDN47dofPSz6whkf+jsSn06LZWdm6DIQYCxoWZyV046neN
CoJoc/Yck1J5OwST1sPGh63g+XjoOrYjbSx2WWc89a61TGMxboBnLE2HFAOf55EJacXpnjylZrcM
hB3AvzPWXtIx9A/SvVbGD57nb013vtZ7I1wkrfgEEGdjxuVjwRJoZWZoJDVizf266JdoVLs1WXFn
hrRnPzBfRr2V6yguVcgCBoNo7xH7sCH1HhPf/F5O9rktSRLnfG+P0uBhCYrBJhLQYewwlWJNHrh7
KQSJdhaYrNRFOdnqN6kFuxEeIfBlc9OQCsAcIxSLGknWDvrxsz3EE+MTkNcJQLFxdDsCuYrHEY1D
qclnw0C6U0Z0++R+LHTZbZKmT5d5w2/NvGkHABdNvBuAtAaaFpBws7TL5FRCmAPDMF80oz4ghMPO
IJmzV3WGZnJsKBHhGlv818TKVfTVXRCNgKNnlKeOgZWo7Y4zIvhFaVtPo+BFi3U3WNWjhwBtss4i
ic7JkCwtQsX2Tjg3x9Kv4RKM5iPxvMHVAJjOa9JnjHfWTr3u0iTuDuhtuknq3nx2Q9BmpXUjhjE6
eiY4E1Hug1L/BIsFE5CtY4rvtgE5TXqWHKtAB/piwZS3s6+dC7/bIlgkMN1PCfmBUQuhoJfUmYMy
9bRPk6huvbGCTVQ651gE58yJ4SZYEwuX+KFKvWdrRJXGOXywzThfd4EsNkZrPc+Zt/caoSEOi/Jt
zhTioJF2Bf0cmxGMzl0MBB2+UsntGFiZbt6NIjZoI/B0W/DgJsuIl4kptbUhIp/h13cd3/WvVNP/
k3fZdYEat/nv/1Kbwj9Yp66l8uqw+yIJAqyFNO6HmakR6ToyvDy6wGtZ5PmpwQHmWXd//01+SJb/
7ZtIYUlicIia+UE6kPhjbWpNE130CVn1Scdwo1mf2uHT338bpBN//V0cadmWblso2dWP8d1W1MeB
RRegU7gbX4fiXjN/Tcf4PP7f4L34yWf1k38fDJoANavTbNo/flYNGpyC6W16yQceNGJgGad/677/
P/99lKp8QnxQNl65P//8gQNKxbSr7AK4MoP07/1KJf6PPz/j+b/9fH74W1syEaHGUUp88lZjPCk2
tbNi+zW+p/GvE5V/8q3wTTLYdi18Awzk//yrMGDWZ7RPyUWPd3AvWD7BOg0srIigOxZ//7H9eez/
8Qj/6c+iHvHv/uy6iLIeTE96KdFSEOJD39WuOFOnfvP33+gnn9+fvtEPv1TuxF4Bq+rjG5kMz1Gw
hhvuEXUVl//Ds/aT99IhMArXNrejaRhKjfPdL2XaAHS5ePNLAxKOeMpxbfuf//7X+dnj/N23+PFx
mxm/FoGt55fcfY39Z0v7XzzOxFYiafKQRQDt+/OvAJnNbi3s1hdIuJ7pLNLpf3F4sTVCFcX0h4WU
wWbp+w8p13LqeymKy+y8Ds65IzVWb/+Hs+tnf3QeYmSOFrYVoWZc338PL8wQ6wCAutQUftPSxRJi
32DuL8oV+L6//4v85HsBRUCfgEEHnciP5yRucoZsLGxwOFCTEIxHlMHaqRYFNdbtx7f6N7ZN8CZ9
O3RXr+3r/3nPW5rW82v2/t//dXxN3v867lRf823cafyiRonIe9Rf/cMO/m3cSc6PZ/Eom5gAcBp9
N+70IGHyJDoGI0rAl2ru+of0hzQeLgtw5tSrru39k4nnT1JclQAQJ7urM+LVMa7/8DyaDGv1Krcv
SZ8GBy2gCbkbR6JCdhTHyXZgP0sdDJ24cu0V+/p0b9Wg9/4fe+fRXMeVZtu/0tHzVKQ3gx68m3m9
gyEAgpMMAAROeu9//VuHbKlItUxorklVRUkkQfIi85zv23stq1esXRoyi8lnPScQpFJCSjKcnbJV
yFBLKsYAO7mWVMsk9CZTURwUPo3nb3uyKVM3dg6vWQAw9BaX7cXAzYbRaEDTeoH3EAmOQuMxQT+s
fPMQ60l/16Em1gccxZm0FbfSWzwCUsoQGS9GtR0RG9fScKxK13GrYyQr0B93i3bxWu8dqCZCc/eK
G3ZPc/YeLuNWKdvPisCjXITlsUas3EjDsuaNnzP6hi7q5Vy3HkSMXYFna0SpwaiI54tnniN7w63W
iRo+w3976aXReR6QMaYdlmdIm7iTTbY60gDdsHlaOUiha7xrq7TR4WNklxrmEZApca4RSTcIpTug
1h1/0EDfMNiW44jYszrk0kKdc3+10FKTQIH3g6faW/AXpECTnIprruHMhwWptdtEt7O0XEddsu8F
T7BaGrC9mQykK9l80o6dkMSiEvGcEk8m+F/6ltEsGwYCiy+q6K1FzuZzWbCCQpu3AOAPmTRx5yi5
OQ/r5FywdBM0IigTmWuj+eilx9tOMXrTm6KLxhSZ59GHIq3fHOautfSAL9IIPjj1J1c6whVk4UDb
bzPR7lDIIT0bSj/p8IpbomA7K13jMzdoF/m4Q11inQz4yDXE5ITHDsBJuQktt7WrfKJP9Txysl81
KM3pscKGHFNgym3CmXrepdJ/3nwzoaNEn1zySgrXMj+qxCZBmz5HdO3J7W0chOozcTz6z41EeMd2
+8qsTD9NlkWgJZfkjc6FQh0QtjK3/P4Bdc4S0oFLE2DHAHnGoTPucHviqs/flO4UHiB+fnAq/8QX
ICH0kbuAYne88RRK/5TqGU2QIY1286BeF74Zbmc3cbap4jI7kaGnadQPhpEYPlyzlVHzY5a4Uq5s
nY2VM6klQ4AB2IlVG6T1tBmQiBFP+5ym2sqqy/jgutNC4N0akYrEXJMjEJzqMGxGIHQuA1G4gSh2
de1s9NxGHM+7haWDUSlLLrVdxStde6JXNN83mpI+F1oC4ayGzWwwUtPCplq7+O1WSKlSUF5c8Ez2
G1PBXcygJbRyZVs+1z0lcAokKtrYDxd4l+tJlLgPlPmc6qzUPdSnPe1BethoAfS4fW16tp4gWFcD
vlmyQAYdaveAlsk6aIJAQVkl2NPdovmiE+hfAcAduSENrKllSraIHDB8eVMxuMgguHaL+lZr+uck
z8ON1/LvjgSftsUy8VRKM2tb5qxgWyVRCctjSNF0+fcbsv9czPBYe9E2G8dLzHcUipn+kOBsiUZ+
16piYXMuj9psbOOc8FjpsYpIloaOjef6E3Qynhk9f0MLeEj6NpCD501e5LeRFZsIHBiYwzE9uqJn
TFCp29hKn9Wh2fZKe8+6eVhlGRj4aGwYAqXntm+AEvW02yEfbsOq2tl9+yGMkOgCL4+gUjK+YdNs
pZ/dKf+Ut0l28qKBJX3c0psEMJ6XjAoFKTs6UU/knjejWUH0cN+nUmfPUOaHLuV+KrRpy7Xo+8Hn
3xOCwQXiz08I9y/Ffx3Kl7qP/6BRI3/obwcFnO680zkI6KC0vsFhfjsoaBwHbE4PLE0dYr8c3n8N
Q8HZJkKlU27kHslZgTPErwcFaowuwf9vPxlxqX+0Gf1+VvzPxd6C5a3KeyR7WZPDCu3mn88J0LdQ
O5tzc52VwSZWofcaMNyCSOve7tEBxaZ9JhYSXWyLD+diW7c1MQLcFOqdEZp3adO/l2pVr6YpYvEx
HCNHalD6U4pQShkYlRYcFgotWHSCVoOJ37QyTmo2E/3t84tuuptQOKc2UjblrNwidHpw5uLJmqCH
hvW7C9Gk0VzuBMU+7UndK4iQ7AgGnhs9Mt33FVO9ndPs0rOg46l+mZyhIws8nVhsbq1GY3UqHixm
yShPk3XWjK9IZs8hAI2uMb7ATNwOnbTD2cBBaS6b9SWMootXEtFdTF9E1aXnXW6ULCon/YlWxi5i
weDN80pJy2uiJRdpGRp60kvtEkTq8Azu6iaK+rMYZ3+AlmIy6WPFQjATDoT30bIzWuNBpMbY9wda
fi+I5FaxbT6BhNwrrRcMVnsXiQVEQhLkFZW+qrmfW5QV4RRfgU/tUofdXWI/WEhkl7m9y93uFZfh
BfXnJQrr02DnO4sHGi+uXV/jJxfVB6jGi6Wxxwm9vSHMO0c+xFyl2nUOlnUzo3nZMwDX5vpYh+mL
UZp3XgUuOabclPXOtVe6k9DzYBHDvlkYvzrKXeJNe00NH818fuAgQXso1lYwphFtsd+IQrX2nbw+
x24m8ZY1K7i5D4Mytl+cgU1lVU9bt7IYp07VE3HiaAUM/BXwL46NpmGttW5nb1wgWbhNsku8Itp3
30zW5iKt1gkLAWM7NAXvXA1Q5TAx7GdssS1r9FQ0D+/SsqsOUDAHv60ZZ+NuNM6MNmEKA+lcZRNh
KNChOpGjJbnTNX2b6oRuWehgwySJRrjfBQCG9Qbm7YItke5KUjn1uiM37/fOaO7YGhOItuf72Jzr
gPwKYXLDTjdLjy2trGrAPKJ9cMEUrFMbuFGS6bexO3MlTD5Gi1yvp8jOefhWugYAdfO6YDcxm/RS
t+kYpOS5zSx8jxfzDGbjSRn5ceem70g8zyYInoookmELQNLlrV7mj2OPbK8aACqGlPF8ElGsfyrz
VbCHX6mNDIq3NRF307vAG2IXMSVfPYVh7mDCUR6GqA5S3X0XlfelmPUHGn3vfP0Ac0oVL+RsZIFR
kTCA9lEFnP+B6KWseYZK21VZw0Yuvg5RfkDL9WhOM6FwlXeqe4C2FwM6ZmcmoscYrwVk3Poyh2O9
gfENwadX7HOZhczKpPXLS6WkROLhTDjuI17jMVn4U64B3JYoedhxyp0NGuQknfahkm0TzD6+twzQ
pggRMO++woN4hTXyOpncwBupV14cG0onwmWHkquQCma9ZnVZcTQm5L8NsTR3UtfMYwq9krWPRd+u
eozOsyC76CnmWyxlzzbFN6/vXpW+4RqCDnoKVYIh4RMN4wF1JgZCIuK+KR3SUiZtdgSol6b6FI0G
oulkntdEBxgIheFnQ+qowyp0+HwZGxC/pE69kW9Rqa8uS74tOc0wLcdtnasE/wapu+5506PDGAEO
YcKOF5uvbTgQzrpOOZexmcqGiz17jFRiV8NjoaqHTuq1MwUrVaxwhaMGfUoj9X4U3dEqok/a7KiU
O1iKNwkpehMKuY3BG9q6hn4jfeDexMYphxqOgC7r76MoLTbN2IrIV0r0HQPxSl9JhmhvcvyFE2Su
CnylWzITIK0KjppFm5dcH3UCs/NtlbccR7Upu41paPj/Tis4BliqdIv9+Vnk/PL1vWHq9n2Csf/6
P//9v01DftSvxxBkaippbEZTOkQ6ZgM/ZLLVXwCtgFIgrMxQ6cdMNg55R6auQb6Q36Ku9J9jiP2L
I+cULj/AIFf1z+YVDK45Z/x8DgHlQNrTAEgjZ/K/G5oqqjazP9HENfTyjSPx1l0LFySDeG102VMF
Absioh0sMLEdCccucnHOyn6nQs02JT579CyKIiN4Fyc7TjBeVouXnAsQC4EGfbuQGO5OArldyNw8
MmRMyfPW9CHetB5Pduf2l64X/qANzzZ8bw3OtyWB3zy3vtgehaVhFI8N3987kq9HkY+h74TWEPBl
l5sehngpYeJC058xMhRBHZvTqjVAjo9knzdoST6GsX2nQQzilynD2kXK6ucwy8s0ugXg/rKo46Mi
OaWexJuXVrysU4jnlkSf98SZVhWo/VXrlK+0M94iOOk5XVAeE/wWewlRbyvtRoGqnmTiXEJZTyRu
PWksYJ+xfkOj40YtjIlAR9axOwTTnklgO8HsAXjm+AYvHMaC1serNIJPt0QW9Uc1+USc9YbqI1UW
FdRNa2TknnLvvoUUn+fabVuMzSYh5hso0OQjqPJRNx2rEvGCM0IfNCHPC61K2Fly6KCmSOCot+BH
x60bIGBZHlCVFDuvtHp0R+SkWQwbB1e3E7Ki01dc1PNBDBFa20LlBiux+MboKlRyjJMtifkmulKO
FuHtLHH6UY24eBaqTO/m3ooEle0XEsBf2sq2hMivxA5S+/rLTBN62woDFk8VyZWlw9sToj8ETurh
8PaB/IeoAupl7TgIADKRv/GOxzgg5QDgJfJ1JoUBE+aADIOADaTrHKcVfGmBXgAuxiaJEQ6omAfi
UOvWg5QR6FgJ0hCKj8PAK6CAxweypy5LeNjYNToqWdEvb32jGryte574UnuQSAFCL1UIcYIUYZnd
MyMRL3An+72p0E81nnYpxq7wjY6PsmUmUyCGGEi/mF2YH/Y9wMIvg5QxxOjaVq3rZLuunci4ifFe
kfKGEIuDI3UOY07zlqkekw4pe6ixPoQqIyby7OYOjOuzl+iv+De3jlRF6FN7VnKWNUJh5m3ik1ii
+hX728xfvlNjeGs9+5bpVkc2eqG8zDvGwvwyNXO+MkasGtHTJPie11O39LO+VxlLTpvZ6IwbZ8yf
MSu38Mw5WRISI7FtzY+TkKKdkOvzFCuyGpAGZUkcKU1LmKn9uB0zOsJxyQSn4Z2IltY+yroAhQfM
Y0SqPi1leG3s6tRPLIL6sviIu/peN6J9obvHwQVuxPp1QVqqp/khUqKzmjBxI9onOCr3aFMa804t
7QFcXT1s6kk7ugYCGYhV+9IRFBtSvnBP7NrRPEIl/LA7Z8PLTz6azHWJFPdQKvOLrnKYImNCz3Dq
xlU8D/YhXrqNO4kJTVDidN1TwbmCl2dUYWVHtVDeG2PfPpbTND5PoQ4U3FbbodkZsWt9EWlpHbq2
ysQNCjvh7ul+ml9CYevhObEY+uZEr4PeIyMfmfbamnQ+GiHRmpDPy84sQZZz1MLPwudubVU0I/kU
Pvdmv1vgYJE6J0tho0d3pKCQexXh9TK8dZeF7lrf+QupE4IG+U1mi/Sh50a8zquYx1Oa6Uxxkg/R
OLcN2cydMuLwA7+wy7i6+Q7hfcPrvubz8FhbJDf5Lt66IUgDr4fMpRKGNONjn86WX1XqizbxHC8L
jEI0vrVRy/wOWfyuzsgAFW14nVNV9+cuBbYvEoxLkBjTfSE5+q1RvDjlAPhUZ9fo2Pic0+RVB75f
JpwVCV8VNYK7BTx/aMLpF5LY74Du58RUDGWQpzuXMWGxbOM+3iqDeyUIEm8G8P82GoAl7/ah9AI4
CAI0RoWUWIGbZEPNRC8fMRsaxNKkWaCRjoFC2gawteQrOKQAH4BCzCxcjUHV/Hwkwanb9V2cWF6Q
Nc4prOqbUhoNAPJwbWA+Wkf6xZTWA0vg+mgaPAgIEfDJ35R5fVFA0/ulaj/Rc3hLpENhnLLjKK0K
w9Qdw2p5stAtEBG+zhYdFBLQh0oaGfqk2sSeihLCxTuDswGxA0EfpdRWPXP/Ao6Mj5SRo2EWAOi4
d7wU6CcCCJs73WaUTgjD7Y6JtEQw4Lb5F6dNg0DClCaJPo6YlSKXIBPO85nJejrg4lHie8DbDFuc
PflrBu3zacBSkRr8VavwqhspsHAwWeSaeE88b2dhuCgV/mmI84IQ9NcKB0auR9t/z5Pfz5Mcr/78
PHl6adv3Pxhryab6D+dJIiHsVDmxMUb+HSnZkP83wWAq7vYPoBgTbS9nSVtl2kQw4qexlvcLczCb
n5ElGKgKSoP/IPEPsuv350lL4wuzmGkQwjAB0v8812IiMyngJcbrPBqts46GMOHu4yB/EHNMHUwP
j91Ca3Q9M7VKH7VeA4kO3ybu9tUSq6tpsJf09H0CkUx6x1FsrIpSYkQN23qTtFN5bmjCZd2JhvE9
uKzdZGvC+/BUEtKMbNq22XQxQOQgnJeF7+OqHG3KZ4pksdS20BcCx+nIN8pSapwVqbFN2jrXRbOs
AVRDhA/xeAQdza5tr6a4Qrm0m9ZDpmHD3TiM0OHZMEzH297tKo5Ju8mYeyYLEisrvhFmhUjybk1l
Q91FEkFLdxAYrcTSet8ItXM1D2slIz41SIAtJUYYt7kCSx3W2CuTKCy0EnnbfaPfWrUwtxZEXHtU
TAjE7gdbPFziucjXDgXpbaUkMuQGVJcK33iMBJoYVy4MRMwLBE4ixyYJ5FUlmlf/RunNJbC3keje
XuIXtRmcr9uY7Ngk4leTsF9bYn8rCQA2JQo4m4ACu1XxnjqLtTUkMBicvLlty47A4zecsHAQ2Fl9
dpOqwIZrqMO5xA/ndT2uXYkkFq7xHklIMTAPPhaSvZoLkwdNKWjAQTVmsiF29pIRwpTI46hpPpwx
DPFysP5zcpaawSghyVmnO9uSnvnBkwhlXYkSmu/E/oUELMsJTiyRy+yDWWdIDDMpQWs7SjRzKyHN
5ZiT95Tg5rGHH10swJxz1/icSbyzkKDnpjFVgAmcOLnXkOKtOMj0Eg2NirC+Fd9w0RIc7UiE9EL+
jMGPBEtD2+II/w02PfA2QZVSrSfN6THcIBANJZ5ay3CPwBvKd/8+Nr8/Nv9yJXAq2//6f4V4z97b
P7iL/7ASkJAtQgOs2HUG8j9ZNMEXetzEyaV9K07LEvSvKwHzF5eHKjwAODgs2Lhw/7YS0L/xt3is
0sp1ABja/+TZSQbhp5s4gSxVZSlhcPPnGa7Kf/5DpCgBPe2OhZdcKCIuloNCemvWTz+8T/4gwqa7
MnPz431f/iqAXS1O/CaQWYs/nh9/lZogMigtK7l0ZRJnQemq5KQ8rBZ+aOjpOjHaBuKcrp0cQd25
xyTtZwtpWFbrd2oV3WYxamMrik+jqpIL0BTL11wGv3RLVF8V0X7U830/ROd48HZVr50Imt22s36u
l5I2rnEFHXZQkxR68yDbvmrtMXbg8RL2EJ1j3fuqTRGAe4ARq6RLJ3Z2/UcM1osMpo2Do0HmAOWB
Hz85Cko3RJz2YVSWfBuOkxN0CresxCMJjPaat0baFeBqdfMxZBW0dTLL+KLneEAVZjLbWE0jex31
dZWty5niTVlqmOlchJU74YGt2GsGMiG2pu7FZhXAGg91HlVnN2I4C9XBfVz0mpZRrWfbRmFJs9XK
ETq+X2m8dGu/t/JuDhmdWsrVrXXlzM9fMRNAEKyQoS7lgZtNYmD37NsBHeJZdNwYRISZHno4gu4N
v15rfLFmAZdcn0tOw2I27kqnsaabSEN2UovZO3qN7RwG1p7PwIXNp4ExLRyPGTpqV3BtcqFHNvS+
rHHZubyRbV8dW4+6OmV0GzjZWukRQurVRBkeoL1fCzFDBrGGi9f3zrrjz5zS8dK+tIRIppkJ9jxR
K/LqeK/oubZmC0dpAFX73TKwz1XJRnml5t3BVtRWLGljZuwePM4qh3mZmkTWNcBx8RPdg+HEX90Q
2DUzl6aDEMV0l0MAS4KDjcF97bAO33ZdpvmFF5qXNhq4UIAP2RIu3o1mQeF20ttbwQKbN0x+Ji9+
xmtXbJjv3JqltXejPglCO9sRwE0DYag3rTfed5TAH8QwuR+lyrAoSQN7nOyPMu4DK2+DNKy1T6rS
b7jx4k4vU7rzDCpcttETW/nWrr62bfdexLQ3k/kRnlTQGMPBm/INDxBYxsvWnNTz7A4BN6wd9R2S
1RGWmuFVtXriKcomGzXeP1QA+vkN4wnvrbdQ7bVgtDODtziG59Qani07fs0W6it2m7YHkgngx8fl
pOc62yT9bFd9QC/6ueKvr+3YExSusw4He4O5e9erC3fVdi3yEFmFWlN/FOAp20LdI/RJAm1m0e04
N/we7yz818EUL4IcSogab1DjM3dVZGChfttlRXse6+4o9IkPc6dts3qiPBXybnTz+ejxTaSWAO29
JpiQcbpsGs2pfFKWzk+5qvS6uC3q6gT81B9070Sd4jbySMGwmdNDZhJCTPgE6NEn0Vj5fQO2RzTq
JVXSL2WqfakYBsRteiRef0h67XYZtSDDI1hm2ZkbtF9n9Xyka8VZjEOCyzylTp1dLxEGDWPwiAv1
vIwHt1zmfb0UxQGvK7fe0MGvAHRoFqjOrclIt7VXbUOy4HfLrNSbv37y/gFWW3MhOFqupbL6Nfjv
n5+80awxAQLufylrGAxD5pEdHOaUUd6QnbrcGANnQHJZRjmnpuVdq+r2tq5T9ZMLqGnF6OGub5KT
OoVB6jlP6tRt4fN/0NoSTM/AFImEmjzJoU258JnOQiwCIWHbkQPpyqxB1Dput8NE94qdt/fjpH3U
GZysB60DGcFcCYa8DyupZblYpSRvwmKrJSQbzeEm08ttmztfqdnd905y6JnDLm12qHuUOVV5clvd
23bjjHhsjnf6FFl+y5LBDmm6RmayJcbqBK3a3plzr/lVZB/UyOP7GtDiKew0mufN9JDErDA8m2iT
PlPki9l21rZc9cTpeaiWS9Qm+3QEkkX3M4gzivSS99O72DBzgBmwTNeWqE5MCwe6Xfo1pk+ImmbH
e61Z8VUuvNdaRg7NNU2yO9Nh3TkUQxbYmFF8o+Kw1zQ3VHyGIF8IwzVN8mDOVEXFFL94qnOM6RcR
H6p8l3BXmtZSCLrVqhwwr/ac5JRwDNu3PXM38hwy2vJr6TkntVYHdmvK11DDbVJBOCFkgsQlyzXK
K/JZ1p1ix/6sq3hJVO73KAuf51zX/KSdU0DF4moslkaYmRqLWSUuuKOkfywNYzyCsGsYxY/5/q8/
qj8Hj/mrIBlughJ0sIcAi/F+d0RIqOgAJs5xc/ZxYCQHRu9/E6SV6ej/HEL4KZGeUDVwPRxorutK
EOqPhxDDhiLvekJcMjtZKfaVuc4uru6aMeGTkPmxXW+8ZP3XvysuoH/zq8rf9w8HrL5Ku8o0FOWs
zsU9AHyCmPwP3oqfud3Nqwgeod+51pMdGtAgaK4xsWFfDUzJV3XCvkWzfC4V5xR3puq3ebTJvFF7
dSMax7maPNgsYAORzkcnM59tdvEwKQwbdNpSlOt+cYq1Wyl1oFEc851invf95BivZZGg7OGuR7Ux
fsv4rK5r1Y4CnsAzqxFb9blS3/cmfUGehw+ksvR9LoybaO6+Enja8VL61DbNxm7HdqVbyc5QI4UQ
JScU+mDFls2k6tcIYoNmtLhCxdOdHhVg6WOgZYYAEuPNRz70H3U70nOp4n1jKjsij5+mJXky1fRg
sf3nvsxhLQ4NIMpdjAe1t/bpkhxJPQbFHOoBS1WVF0zKU1Z9GuSANU7ysxtN26IZ10O48AlmGd+J
nF1RFZRJ7qI8SdygycIzrWhfBiy0ksqoK6Z7kK0c4CrlU9+hJ8f4o/qL022VKobN05cvtiywq/lt
DUkWBnK3arUDVSmF6zNFW4JzQaVpD8Uc7aaQRcHQ9JeKMgRLeWvPve4dIgiwjdhlrG1uRWWeHPq7
f/Nx+7vPuDyI//BpG8kkDTpquHNyKm7ERdmQ8Hgct8ve2tknqreR/wa7hgDeufgyHv/6F5ekpz/4
BgO3SWCJ8pAnv7gffnFQsm6Roko7ExhYFSfdrzbEDbSj8uRsIH09XBX/9DSsEyLCL/xHdplP6uoQ
b8KLUa3yv/lqfr7YfP9uN1iCUpmxuUZZv4s6zerIUFZLokuk3qD/W8XqUzN8v/r+aaHl52fW//01
5Jrzh9/w0uS9EkVZxMv1XTQ7b7796z/RP/w9gMWA48ocjRHXzz9/PtkLAdOal7dyU3t8P1icOb8/
of5N9Jl/OfW8L7OX4g/EA/JH/Tr1BPhJ/U1DDmf/Gsv7Lcyn/4LRii25Sc/k+6r815u7+4tM8FlQ
Ubjzcgnhu+DXMJ/7i2pwB5NMEl1CUP4RHltzf/5mJ83Hul5CflnkA00BuPLzx8N086Qxe32+ugwl
bxyU93cxmuDPZWbqB7iBvNOhUW/cblDP41yFqwFuNHP8YXl0vLG7j9Qy2y4LfAab3c7aUToyqnEd
rXlSXbIs8s6DoYUnyyIra7DRhnSEpiPol46CeFlNO8X1DpO+sCXuIi4cgLQJzqjFNinGUGbciTRX
7fQljyJxKGuJyeC8FOiFKneSbgWEYn70dIgGmfEyh7lz6FHObLpSGY9FWoIi4l4LZ8oLfZoG1xTC
A5TQNPU9m4B6BC6f+o/UYRlwEsH3djq44YT+rDaat12RB/WyCBmGe44mEZKGYz6XVoekXDw6uUW6
1xdv9DvT0W+EJj6r6Qx7yGg2ZlXcWmWtrmO1U7adLZbDInrjALbLWWeoGtAqtHteyF7AG8/cpllh
rgfQbTtbg7sVWyI91DlUy7AcbpcGf0CVQUykbLHgcbKoO5Ns0oV3SQzIXMPMn47Cg+QuHisjyGNN
u7at7gJBHqt9HbUHQolf6spBPJkR7dJdO1lrokLeVnO3CQf+wpRRa8BJpuomtLUdIHQ4cI3wJ2vY
5l0ayqRQ9UKxKzlPnflOmJEck8puikSBG6CH8TnP39uGc5s7JNLTadrqQ/aoJ2PngXbo4lWjZ9eh
1m5Knf65aOF8GfG+UtQtw3KunjXSUoaoK2Yl1YpQkDi3rVVx4MiPraG9W5aUF9jj/RAxyWgZAkvo
F0PlXL06wtsVebkdDOuUTN65GtVtpPUkozKBKi+0b+YQNqiIr/lC9B258cYDaLNarPlsMdcgK/LA
xIlC/mQe7ZAQ9tKHX3K9eTVGrSZx4L4xnsZ8Mz/UHgPvKazgtlTob7j4z/mlTi1gzxTJ+jeUHY3P
JQqcCWRPHM5FxXcF1reTZtdEu/o5Kw+VBwrIwVx2YtUa77898P99GEtJwJ+voM4vzR8Fq+UP+u1Z
LBtYJG554DFLpcHxQ6KJBhYPW8hRnuwU/i5Yrav0sgD6enLI+UOiyfnF1UzcxcwlbWTD/KN/sIGi
TsWz9j+XC/ksRikO/5ktFF8FP+HPz2KXQa1tK+pyNfLosTaI3GSc8ymG4/fTlnzj1vZWY49pzXCK
Ju8RAyAVjh6UQu7ZnxLXPBtlt8+TZF0PbtgGjpPTO4kZTTxkpYcqRldvhVI0+45dvBeAcFVeYd2x
aCk0Gu9HJ4T2g6IPHImdOcmu7Rhx5IBjb1WKHHg17fsxlQfdYb56Fh6ZqTCCKlrSVT2Vn+ZZeSyt
4sEglbNSdWIBakPERZmvUeweNMcI5giX5mKAlivGlUjUuyrRb9hMP+pDW4AfYLkbdvLK3KREV4qP
ucGlEunaJjQpougNVw1Ln67Q6V7qjLyKRWw8AC73tR7zJehU5j8e7X2hdtC0ykjbpJh9gMYq5rwf
p1LxqbwcNbLJBmnLXouOS+/42CEcKjsRAybIy81QPUWq96yYDuDDzLhNQS13Vv6YxnhLmmR56MBA
DL1WAZYZiSuUH5C6OKfHdx7mTQau+akS+V7L58e07Y9KOXyoDakoYEyQbw2DcCcO1pWigCswsnRX
t0rlG5HtQ8kjWKxzvLc4A191Fm2sZSBWDt2YraKSl4zUOZe0/Vc5y7W1m6YEjaeKB5zqvEWzOBQG
La1O4inaibGjq7M0N3Z931zDDD2WwcUMUU9T08e37T7fdlZGpg1e8p6Xn8/T9txNAA2NkiQ+StKN
qYavKZFaUA/KSiKDk2J6AT+Qrvg5/TLzmGTh4xsj+jaRobyojUj8ZoCqoqVMZujZoUpzz/QbyR+r
bb/R+8g+ZaMB3Llo7qOWuajeAYDSdCHDxV4SLGCEyOEufmtnJkkIJ3AJjG0ZdHSbjM//pWeK7yjm
nrfnI9uNndrrj+PQaSTvWzXoWl3jIqAnJzavJIww6KwjC7FrOCQKGOXE9A1TCbczBelLNRmEq3UZ
kUoHnLYVl0dxyFN401Otv3AngHJRzPHVARfke1iIZjff9F1LmB7to2+NxevcAmMY4s+lgN3sdela
RPx9JrQVrqYpERP59oeH2s33p8FfYBUsNOo8bQhj41ORCpXfndcqY8LRrXjaNcsfUvOrZQV/O0X5
3Y1B/hIegU/KqjwjVSZ/Pz+G5kpMbUK/4Jq2r316M1efiv8FBvz7jpJN8b94R703b+9f/++qT/6o
315S6i8qwhxa7RYDpm9ZiN8uDNov1FswkpHHlbZpxlu/XhjYD8I/5hKBH8Dzvr3afr0wELvlI+PQ
7DVM8hfeP7owkNX9/UtKQph1aot8+nSWkr+7ExuKDuqoTtOrppJVP3Cwq/AewzRSiNJRNFnndpPP
fl8nNZauNOjZqnHJ3U37vRom20LmLZnXJJ37GM1Ttari4RN3neaoTlkZfQ5lBMvuaH7OrAH9/Fs+
KyWgSCxhV+kWMzZSXGU6XyclG2Dt6S+hAwKdtfyxIvlV2BOzIrJgEysqtPfLpnenR3KyX21SY5VR
8hMg5dqJyeIx7iIdbr1bcKMfQwmeB5y9ZAkSRKtguD+EZNNwgi1gJmY2ApN2dcmvjTmncVtG2sAu
86xo3N1gk6rI03EX2vqzKYNwYzn3iGd5C5ZlPax5eiS7ysjZL7Eog0EVknWro899WndBAQNnK3BL
rpZKhQDEbJ+DPprc1Wh30Y7npFCxBPMKXSEeZH+YKdmOiwT1IDNBm6Bp2ZHmtrhzOmd6sgcURyUo
Jt4CsXWNyWPDH4q1yzybh3oy9ZuoKNE7trAF7ZrhVMNEfROVuRaR6eCX1hP3KfTqbkfLgIhZREpg
BsOz4uUQtodEa4C5woU7ulVjLqscTrzgayjq+GA6iq3t6WMo6UaX3K/ZSbVXrTa48PUKR/wkOUcD
h+AQU2bHqyaiRwpReNmoVg6kzmtGf5pLCtZN+k5U+4lWy6lUyfDmzrjNiOj54BTOjaecYYjxQcrj
wKqyuykqDpXePOtKekpGlpS1nn8yRASejqO7SRJOF84FXy+hw6hzUoLNM4g6+tgG3WArSpYzl3Ea
L1j10gr6pmEO4T6do32fh6xNQ5KhEwW7db6It2UaEbVguCVcDbeopF7KKLKIfOrwb5ZKfhSMTOpz
qWkDI5rWvYZgQBaepm4KkL9YoHkH4InU2qRL/NLZYw4p2CLlKPKY9Jogpcq/Sfl4FWne2pmriKuO
jLZbXuq7izls5ygeAnVSL46FjCptiATPFXs2Ve2O/5+9M1mO28ii6BfBASQS07ZQI4tkFedhg6BI
CvM84+v7gGrJJC1Lob033Q7LFFgFIPPle/eeC7Csc9naxSqEtIY4Rzyag4Z2fcyv+jnYxhlJs4TN
bS1KzjIOQtAF0TwOMnHrNfX8F9htMykNmWQ0MuBQomNrULCNnVhpKhVTW4/pKtfmCKi8d7DEiIWq
SX+ZqVWDaR87FJIeP+fkHkZWHp9kdZNf/3fGedOLzK3/X+wfnHGKvH76yQ7Cz33fQTBu6DMwAiUd
p503k+iPHUT9S3cMSIfz8Wd2gr7bQLjH8AK/J1qy7H/fQCwkeDpHIkQXkj4GRos/OOW8Ufk/nnLo
eTJHwViiI1yhwvhYXpDcEAtrEsEhVXFVnwUc/h8HTQ3snVEBvT7SuTFOprY0H81A9nRElYxOTT8o
/UM1WfWtE8j8ynFCY3Ijve3ztZ5ZzV2ttxoSaHwUKzOIMLKHyu0gKF4HH1tmIkQMFdE82uQQtr52
aDvz2k/Gp96fnkSAKYnpglnb6Yr0wo1I0pACHOuBFpurofOWrVKd0NoHqlhj02caXru+Oj7FJVbB
socbwKS4ppdPP2Jk5klzyV4nGSxCJbMIRm+dnfSratH13rZIzUvZGZcpbMhlrDOa9Ibzya4Ay3Wc
a7LyqtDFY2BHsAk9zhpZFrULlH/Txg6d1EVIwXhSGpeRaZ12dn0vUoJ/zSw5Tat83wYxinePxo+s
LXI+Kx8EQV/YbjHFl11Z3JRyKs70qssXU4beuJpJEGzX9aKXMzwggdPQ6KgphsxPTjM0Z5NV3Osm
VrVaU4tlq1avU12N+FLnJO+63SZ1tFHJz9AQihcW6DIi5l0pG3hvQqxR4QJYgPPKL6X1rg9ffxtm
/JPshnaROfltFsQvKIIvbBksMdc9a3FwbeYAFJsmkqee4e2AHFyEBR6XzrACF9AIBFMiJX2EUpxB
5GVgmtew4TCLGNaLmWf7CZ1JMdrM+VUbYQFRBAsMDxGxLsMedyabeQ9lIs82Sagwvp8ZxA24fKgH
t5FZM1YFqrpGNL4yC7hvholnuOcUGaj2WpZWd97OfhRrrG1Q8nLXgEe/RQ8yACZvL6aOs5ChB+fZ
hNWyVFSsNWN7U43RF6+D6GkG9IDYH9ZWZd+xo9xbnu8KDrRJyqo5zL+G2l0qo70uvemQxCG2BLF2
vCMPa34uu/Y0ceIjFN3H0MQCkcUTrK0B3CDw1IagvnHfmDx2mhGd5oJgn3lzChT7TrEwAzVGH7pa
NHiuUoVriHjnRpEedKfaUzgeuxo7RjMTOHxLrhW9fJSKsgwMcZM2CR7q3DopOvMwzmBmSAx7xWHm
35U0H7z6GlTFF1MZziqzfRVeel031k6zgF93MdE0gUWYWeLU1D3cB+SDLwkG3IOY0E7aQwKxIDMP
fHhqrz64LyuQMZqaHoSnHZlzrem5fVEUz7VzhxyNALBBqqfHhhwY1OW0LdImuwtMZhscu8QCsG+y
V5K2cI0Zn+zhs8dVnD4hxoxXzZhcaJBpEyUHr8XMkuGp3Dr2dJpkzVmrxeiI5ENvpk90I04mg4v2
4iICpZnggw4gVNeJupG63OoFPMzQI+yI3tAikyBBxxhKoZjzbjUAMEZwgvFT34dzwVS/1U7DXEaN
U9aRC0Rp5cxFlka11c5ll/9WgZVzMVYmarNBc8EIfy7VirloG6jeGORo58Fc0HHPjUM2F3nGXO6Z
c+E3zSVgNReD0VwWNnwFq34uFbW5aCze6kf/rZbs5rKyeaswGakm1A6UnUpEAfrfNv22TRtM8f59
m77FVtn+zF45/9iPXdrmyCYEggL8hggXGIR+36XZwA3LQWdgoEJXpUmf8vs5T/7lqJzz2DhBMKBy
eNeM1P8SmhR0Bdj8tbc/+oNt+mMPgFYkBydCkgybGawxV38fN+lBVfyuqrL2nIhRd+5b+xBoQjv9
9oD86/BTe0Mbfuh5Olg4Sdamn8GgVf3c89SSpitN8irO1dZwbuKgVEwSU1AAbjkdo/3T33SA5DdO
V5GIkXvPMkEUp/5DkUf2CYpqZ69ZKefIb8pC1n79TW1ovikPuzcVYvemSOy9EtxNpBHQ1ckuRKmp
JIc+SgipCYsiF6u8T0Bd24pPzR/WXnaPr9pZGXT0sUNmz0Yi+3NrzjeVrVokLmKjBMaQN+huwqFG
SWpU01bY5/pB7TQjPu2S6FABUllAehvcwDlSZb0adfGSlf7aq9Vri1isDDC9oZiEr6l8CoQCK0cC
p0lxW6U7b4QSoMccc+oK6dhYfg3s4HIqYJqK4murd1cJMV6rXlbRg0WrEpF+3J4pVlEBBDDMkyRk
GIJ7fjVNol5As9W/yqjOttLD7p01ZbFKO7JqwkQxVqK3z3Ti+eqMBtckUAD6eO83TWbdjJpyn8Db
p/sYYCdvGh/sVKujVWU9SVfCVsMV0DP+igYeNeGyN5WkjFiadhZc1n6nrFqmHStnUId7osdHvkVB
olcdY4qXSjUuI2O6LM3GxjoHLOPdu/eTjpngJftYcIJKwSOszRppWnUG78z7CTv5AshCB7s6r1fs
Atj7rqYrFHSL0uWIu/W0BfrGVbqxVkwukTXItb4SW8/9/2L4r8+68RNpA7NWGvzG3GJDqvTx90AJ
3Lc+6TvnnvBPEA4PbuwDCSt6yczRglRVkoG0roSJLgxg35lvVd6Jxj0CUZ+6ozWeOx5TT1tMj+CT
nXXNRrtummLt2dMj+SvGgoAD5MjTcFcmBarGqsRSWUf6cugRUmpBlC4MDqSjDrpdy9zIA2UgbVzP
hgM0jS1LiA1TCZAcDfrO0JH0xbNtRAh6ToNmkdNw6Hv/VHgcG2MqqeWsK0vTqF7yEp/3A2iw0o9i
bHP+jQ/nStPTs3agEIOtsVGRptLiLeW6VaOrX9/iWdf19yLCecLBOIQXiPXSRAXvfBqcOJPonSL1
qnO1S6MNCwFNjErNXFSVKzKeJCpCn0PVjxX9Z0/Vx2HNP6/56W4qQ2dVXezX56WvPxhe5Q4tkYZT
bW1l2p7lBMEvfJPqyypL10ggbBgyGxHT4lC0FeM0D+17NaxJyayVr14s1wx5zghXvlC96dnwy8eU
CA9AEWXxTdPyX+tV567/uIP/4DPO9KVl+Or/RK4x/+CPXdn8S7Uxbc0dWNViMvFuV7ZQciDu4/Q8
J7HOyqXvu7L+FzsmFDdkFLPFjRbrj8OzQMkBCwG/FMJEY3ad/cGuTN/zw5POr8RfxpwSvQgVADKQ
+c/fqYXCKArqAG79GcsL/C+D9qHfuK1pxCdpyEmPvLhu4sFckE0hMI9mSOnb3Fv6Qeaf6m1kPcXB
bPkuOb+Wj5GVaNqRELUCy0JHxNOi7jLnAGFwOvH1Ngl3pB+Ia6hTirHTahUIiuMozSH1dO8kHk0V
N3ccR9pVaJF7tZ/8KamfIeSY/VmlFyiNihRcEofTVxQG4TLPwjZxW2m3nBkjW1s7pR12l4Q0NjuZ
CJpVOKhj+D3q2JKShmWBtydQ9wIH8r4qS7h/GZE3q2BwSrcqq2bVqmO4N5qRk6I3FS3+Cc95auuM
ECtZeiTn0R+Z3DgL2mMgjDl59BEK/XNk4sSHLpu6hWm8Fk36ingFMW+XlvIFka6Lt8QVpd/vskk1
1k2stI89IXuLTqhh6PYxWmDbQfMJH9S+05SQdJu4956HkIAETMNih2UvOKXRkW5jrbLOrbIddlNR
lBsJG9etuqmhXUxRYNhQjIYKGb3T4bkO6mLJNugiifSWdpPu7dYByuhV1tloGNMulvhNsJrAFAdG
Z4UlyZ2+gOkDK9DN6xZQCl6BwnbgYAXKxu6mbaKROcg4ZwM/h2iNOgXL6FVytnfdywCrYdxPyI5x
gGB8wMAN46GBhHgeo9ZxkaYMxEjPh1tAtqSGFeKg+nF8RY9Gv2SKmL1GqqxO0jLM7qJOViTTlC/Z
2EX/rVrfiCuCauTfV62z1+wlfw6zn6xa8w9+X7WEwOlF/LMtGCp+OxV8P0sIOVNcbI3jBEsQZq8f
q5Zk0MR0D6kBg0zit3QWtO8tP1KlZ0z42wr4R7g4w/xU9VDqGKwPoFrg1rFNf1ZMW8BTbRyqykGj
owxuCiiHnF7JnvAXsZGYlJEqsVfRuhp9FgsQ/NWlU6XKhbA6UoRBpWbWpQ/uwQZ2OsJ4qrXqDrqD
NT4bCh0YM/DShZg5jaREwW4UUNz8uuefOEFtgNVVvF4wHomIH1ZdoTjrCgAkUHz12S9hQpZiKNb5
zInsW4iV3cyObHL+W33mSbaxqB6LN8bkTJucgs446TPrJIoq0jzw0xoB6okaSGUr2i/pIAAjzfxK
RuO4V+exN2jLcWZcprw+tBq6c3vmX6ZV5K+cmYlZjQBZgR7pCJWRA+eYdPTRiVek/0wLMXM1J/wV
ohnqI4U7nZexSR5oo41XmnYXyjoEVxmfh+QRgZpyLhCwZQtIvmejShPUpsnSQ6upQ3hqNmIR2STN
wu5ggFozDbSx+vAkeyOEzqxQeBPqqn4DiFa0HmnNQBXtCgxT3BblIGfmqAFSKmpy3W2IvSpnLmnc
5cPFRANok9UyvhjAl+YFHFNnJpp6b3DTeJrCNc0kyLquniXwgWcMajUDUcFnoVEBKGgvQYxATI2C
gOwXB9nUFcOUYtNFUaGueLCzXVZ1aNFqWKaeqdhnoewxJKDsO4tNfjg708rWu9Da4CEJDEJfMvPJ
rzA59DWzEHQ8D7HW+CuvKb7SsExdIqVPEy9I0fsRloKNBCZ2+jWAHIa6vDmMAGTn7E6LuY6NXDDj
8AnwcFd1pXUiDGQXHVEYQQT+kxznjQz4H6eCjzEYrb2QYy/AZ7VFzy/QiBbqWdX1Qp51ZHSdjLoF
wVZP9KNh1HAnKmTnar0YDN0VdYwGPCK0oyodID08aAfcuOa6Ko1yb0raQUqOFK2aZ6j21G70IHmc
dRKNiuaDJMv6pB9SHQGdr60N6dnnsJnXSuq8CKU+NaP0Im/bG0/Rz+rCEu1CKMX5qITjjmPHzNuZ
toqB3iRlgHStRp63su3XRhn2YYKPRFqnY4Cm0oqCTTmMK5PxKp/5YI/ZqZGmj1On7A0tPE0DyA1h
a3hnmQ2MJTULfd0G/hUDXx81YrIDHLaNS26SHdBV7EO8FJHlLURsP/ltzxtohoehyzsURrT1lKZL
2W9LVzOTHVGzK7uqnlKiSntMVoBTv5pWyNKSrpkPrAsy1NUOWYYvEBhxlA2KaGd1cu+gA2V0jV2i
wU4A3OLGRhBK+/fG7FR7XMRObsKScswTzlNfi1K7BIm4s8i50dN0RXaeznY47A0ldgEAPAWmvoEU
uCL5tSB/knT1OLu0c/HixLzDaUIynDNeSoUst7QszsZyWiuxdAvuMT4YcMjUGxh+3G4iRQyWxTMe
7GuSu/EJxNGOY8KR3LdDalMDEd7lDfnWSonA87l8YqgXaTacj5zvBNawzCOFhXikYFI2tJ23SJHd
tIi2Zj2sFWO2VInw2bRbNwHfqEAojgNrRSwuWWMqwEI132gNzMqo9Y+ChPSw87cDms40V067biSD
M3wqW8Dx8UASS/oVuoPr0Y5AF+d6DdG1yWvutZcDftPIVrejiu6lz+6NEufUROSh5Broi6QnDphq
rurGXDMAgUIyXMrBmWNLxdJJAObmyDZTagiKOJ5AT8H/rq5J+P46Il9nhVtDunLrgOAhG5QzR+kd
gqftMFX3qtbQrLWvTLO4t4P60ieHqk0pRIrXUlUxhw7awtLDdWgW69obl7EvV4E6ur4eXOhVcJZ3
+iWn6a8a+YmcHBcqhM1CVbeK023tWlmrQXIVkbHYGNoNQxIEBoD7TIKGPKXb12q75lU8rx17ren1
ie4RdDaUK58QOQYp9ZLDIMRMKZ77Nr/nrwLthf5zrCXq1oiuihX07pj1T3ReUG0p+6TJd5Ni4ewl
ha0jHiBQ2CSCgmxncF6or0xrI5ruLm2zx4YOwkiGL2cToAbgvsl732a2sVOHlCGP4WCF6+77Sr3L
q+gS9CikmoG+dct356z8rNlajcHTaW2woVxkebIvsK91SnuVhNbWHrwDsMtdJsl98rSzgGPrImvD
dZqMx8KboS89DQz7IqqcU10bHgoTW2KFiE04JCJWJM5W9SGrjUug2erC1uqrFslSVzBQryYmQEZy
mhg+8VilSjqWf1bNC9WU349xsxeVsSmYfbfI+SLCr+t+LnoyUDTZTVWMJ5rI94qQwUHxEKoB6Uiu
aqpadxLNCWkti6knMBuovKJELxCdbqImhRZDeY9qpHmY+xxixl3mwNND7cVMEYg15X1cBTtVaAfW
W+AQVYzist4TBs97mVixO6naQ0APb+3o8XVaNSQMDfEm1rUjiuyIuRjiOqK61/jkt15sur1QiK2b
crfDnk5wl+9qoyA8CctfkB0BU5FKOZwM2fhSKNiZSYpsKgNlAfQo5ipwvDpr1bb+qgoU+hlUCHHT
umnCJgH3ftsp9kvXEbscqhu/s9ahOqwQvrH+1Mho/GFaD2m2Hxt/XzXGNXw49hpAoxl9hyaMXTIu
lZNMSJ512DyIOSot3yVKczYxbK2r4hmPIu7MGrlAMpx1EtVfqrL9vStpf9JK+dhrxlVDhciYGJQw
VgcH6sXHM23TV1UFNFk5kDEV0j7K40sF6M+vL/KpRfT/i5hz8ImktH2TNb0/OCupSvtIUw6D/aUC
+NU+DDnI7GUKa+TXV/pZwYt76ceV5t/k3ZVyj9zYyeNKwj4PJIMXixD0aZebt1H7GObmb+xaP/32
eJtQQzFWQpL18XICfpntJbl/7JTHpt2X/nOWPP/5J6JapljmMjro54+XIJ5vUB1UKMdOkhiwaWGS
JgGdP38TItAVzW8atj/5RMShcGhB4og+wJw7b+++wJl5J0a1CY9hhhlPB17ib4r4N5/pYyPl7aH7
cJFPjZTaUxrD9LgIcViLpjqNnGD562/tdx9j/vP3H6OZGKYC+D/C+DMx38b5tQcv8NcXmecw7zqf
82P94WN8ujVFPMZFl9bhcVD0BeZlJzzKsGaBezCQCdQH0da/ueLPPhasSbpdhokL9rOfLGYIFGaR
Fh6t8gL/h1skO8v7+utP9bNrMA8yMUbxHNC4//jVeYaumHZXRUfC6tETkhmQu31y8+uL/OyrY/iG
8k7XdEt8bhrnfWBZYThE3J+HjKBeToowaReOdxW1ewkzp/cufn3F+Zn6fLPeX/HTzcKmi61fG2Fq
oqfu6jsCX36zGMz5Mu8uMXOwDM2ClCWYEJq8r58WnzqXAJkGLT1Gp8j8d2yeZ/SPVsZFcGm42Spc
266y/vWn+njJb2/S+0/16ZLQUtMBxlB07Ex8vKgYBMhjkW9/fZWff3dIhlR2ToMRysdHwpwQxDaY
lY9e6bgCfKLd/Oa7m7/9z3cH1i1PG9F186Do4xWKWoQQZVG7WRx9R1tQbT6GEr50FP3ms/zsG3t/
pU8LHDL8vEIcER014zWwLwzvqpx+s7z9/BI4+uZQvHk08vHDhFpMKuXkx8csOxgYaIdQLERr/mar
+9krxMP24yqfbn1cdUEz+lwljJ8TBV6BsprzkePWjZujEm8S4zf36B8fiwkxTXapIkfDevM5e0A4
nlWkVp4cm25TVvRkV+V0+YcP2qdL0GZ7v2xnnc8XGpTJsZ+yhab4CDGN33xt/3iW3y4x85GZ1Dv0
2T5eIhqGVEk4aR3r5FmZdsiNfnOBfzzKXIC8P2wCBo037MsfL8DSaTHgm9IjdV7aAjmOdiSFord6
ffuu/pslzXOXf+/KzrOkxWuVPVUvP23Nzj/9vTWryb80nSMuSg4U/fP852+ZB/YxVjNTqnSRQFiz
DHwfKBn8CcoQ/Gb4MEwekr9bs/pfELZmxy57L0r8PxwozV3jd6ueAVUJXpQBQhHKNw449dPj7gB4
KmjaBudKbAscVcD/bAR0O7Nj+esqHeZuUzbUSOaoWJbrx5ORApcr6+hmjOJo5Ux0T86zSsgls0of
ug6czu6CfOl8fGo1qc30oKGc6B8MSRcJuE/0sdEGgNJgIBxbWjntiCOr/HrTEFwTXNkNaNvKwMeE
YAHDMskhU3Sd5kl3IxHqCzeBcnUVaNQhSNWjYF0AwZryJqm3yKLppRitdZtpHGEXY9R0t0Xq2CjK
jWIaXZlN4F+VusxIPi3sox53xYOeltGDYhTGlpFbg8SkS7wDqh3fXiR2FJ5NdUnvJPWmlBiw0PRc
Jxe7zFdTN9WjltBRKz23zKy7TIVJ7DA9Y0kwT9ZtW8UzUKSW9qNAez65TuPkEwf61gTdaIeG5Uac
KS8VDcAP4URpuAXcOj2nQtFJepdjnbmjWhoVOkrHiPBeS72Nc6Lu9YakEm5IvQwHpXtoQlRfq7gD
Bygj+p/ZimqW5JXVJHBrFwuAltAkt45v85+NReVvLLWZOJp30aPuZPWFY9UWPG5TcxZJLYNrBonn
jl4XPWJcvs1jhhpIXfm1CvfV9/K23OHKa72DHYroIU5qcT04bYJt1pwpY32mhslWfQOQMfkHRlYi
Fh9IL6Nj+2r2tv/qzEwzxHEe2fEBsLNw5p7VCgS0VCE6NLbD+p4UtaI6lAp6UpNx2X8r1zcBOUvF
v69cx+Tp+bVidXpLLvyb+z+ngH5fscTbXEhiNSXiZ84c/HvFAmbASgaF0ERhPM/H/16x0JxzUqPl
RyEtNXX2pb0bJqEkk4yhOMwh1PiznMI3DuvfdRqDdpa++aA7+4/EXLx/3NxIBuwkfvv+0GCFIy8D
+F03XoJphpzs+IdUK6NnKPYZeGz9Wm/0yO10xbuyrf6rEqhrwZ65mHQFcBmcYLSihMhbIK3Bh32p
fPrJQ2Kh1G6zS+kk/kaFarDpmc2SAYBHtbC+tHp4ZXbTXUBCKMHsIMZFId0B+hU5O8WJPtvCUwtu
OK/WekrEFdda9o3WLtD/BEvRjuDCGIG7vKFnTezcEH1AflLsv0S1fSbJolblcAiIw8st4pXowF6I
QFXXpDF0ZNh0x0FY+WpucSwsgf2SZpDr+YLZeenqZRvtGAOGi56MFY3Z2JoAwZoGF7iFFsfJSo+9
jRknqHn01NniY7+uHMZeo7NsdX3VFjVOI+wkQN/H3aThl2yywF4QuntrOC9or5eVGDDmpydW19wD
agvdImIKQ9Yc0uXRSxZmh8LFGMbXTs13nWaBnVWY56jBra9hucfu6yY20ehItoG8TttIWMyoGJGT
LOnn1S0rzpe2hUWUx+S+T0uIAm5ZazvIXRdihDbvG+alzTfkhVDclByEdJKcV9K5NEP1SzxMQPhU
R1sgCGOobvU3qZAPEcHHorDw0HYZUptW44g8WHu0t9ekH2QsMOpt2EUJaxcYd927KYbqvGiVvV9B
6qqThMCI4HHolOuCpKohGC4bx1yDfb1vleg5cSgRDRjXblWgaJ4w0KxEXX61xvFKbaH1ltI54zad
9pG1LDHxevKrVoA7EDM8v53WhYV0T0hyHQK69tGcWeNbmymyjEWV5Y96ZrJJ1aMLGftJtj3Pl1ZS
2c35iF2Tn7JhvXg8kU5FZAzKuhn0CgZj3OZm89IpkuNYoF8b2LT8EP49++5RUxEDcEgYlgT9BYuK
nJelEjC4GkmyXBDheRs1fElThgnNCJjyyVRcNmaxQmdFhz+tnBWt2OLEo6N5Ltr8dqgfAJvpvHMP
KR1WoJQAhH1ClMD43+TlOIdRVs7Ogx+GOa0eNjisMDu1vcQqqEWrcWbbhkrx1XgDRoBdaLCZBV40
rpo0LqebDiEXZmXIhzW9fxRTV5mnF/Qwff02lFG+klp7xWkfr+8omRtJIHp9t2QHj+gfOJux6Osl
W629pOGYnBD1bs3iRw2nn/6Qd0ZEk47XLQl4pMlFwNE8oGbApomKLF36tjNc2cVgLvIgOAzB9MJI
dsHY1V6ieFirfbtsY4CSE1TPVQZmkz3MJ8bdOh8kvOMipHFs34VGtg5sw1s0drA2m2YXwrFk+LdM
hvyYhO266BSw+Eq9By6BGLRrTiTCnfMkHjD7mld8uxqsP2iSUXUcyvbGiZ1tpcuMXbn/UpvyNs/1
+1S10L8xLIgSkipKACZrjhi3SP+AVkyohnD7nPde5yzQnvYMg5JTFakM/1aArOOcUDbGQ6GYRLuV
HOj0+Os4lTdFZN0WZXiWVPJLVdPQVlPrYDbOidnmKmqbgKTHskdE2PiKq3raF3WILm2RnXLzyCmK
sIM1sXWTdvhMpkRvsE/bwaqEeGVOilzieZ0IrUBi2vAyjbx61jRTM8UO/Wi3IHPxEoLirhXaiapZ
ewyIp8gHaKnTy4cXZqJ77Mju0MMU76SFvVCmGkqiuHlVAhIScqeM1k3rhIuioFz1HAWOYTtuRYbK
3/eelDE9RXp0o4zg+LVhfCYfJroacXK6Vd9vi1pmi5S5/NLyy+c+x4OvVCqJXWl2E9rmPiiK5xDQ
l8vQMb0esmqrZOKG+WrqegV3I7E88kZidWl7NstGv0OxDOTbbHHCszsUzbMjejQ5acKzVqdtbywS
1Vcq5hgaaD018bMVOvGa4VVTO4Bg8Vec/VcRfauIOFf9e0V0Bs2Q3so/CiJ+6HtBhBzfodZA9Ifb
GSENf/RDXUNBZFgwmQU10Syi+VEQAa6niwSC0ICXyVGOTsb/66E3pD1HN5AiKDyE+mfUEPn5AGeg
nbctk7x15POoEsXHcqjMS8lqEgVHtn7D3pZveHjDOmhwx5Gf+m/s+PgbSL4twHtD8Z0J8yP0uWpN
mCPk+d6cKfRkh21hreveE9zSSEXrmyXKng9dI0NG6KCt/Ik0xaNE+5uSsyGDonOh7Az0lyZjSkI3
qR0PkCnRNzqpSKNJ6gpFvsNwvRpbi/e7ggy1tQgkIXUtMpSFPiDW3ZZ+5UTkM5PzZZZ9Uh18MlNo
++tjb618W81Jl7FNUnGaVnk1wCxs/nv0vz36v2xjnOU/1ZW9b17QoUC8RSNJzJX9/Hh/f/J5KUza
GRg2NNNU3/oa35sXiMfAzOFABUuOGUXSFfx+FCCJ1KQd5ZAABqhgPiX8gRqWcPRPzQteLZs2N2Eh
gFyYSMx//m7EUk+0UlujNc99PZtOS6S5BSoCOyjlUhn8DmLL5LUC2goH8wQ9pWflCKNSwmraMHoT
gqjJmd2GasrY3+cavluDVpGM9Vvc6CtSEAVyqqk3Ehz9DQKJu74lumg5qb4kuSsG5F3sallRODid
YQ4XKGyJcwmU3F9bRqW47ZDdCRW5B/q7LVYKe1HX5I2WHXBVooZSZltKvfZa9TrKxFmVmfC8UwrE
Ub2EPIJXQZs3ba8gHCvdZ6V3qvXD7QjsEog4RsiiSDdtscM8iArALwSxoFHoxhZdjGSwMGDb1Eyt
NwGMHaa71HIo/LCqJAC6lLaOF8XAnJkpQgFFBDMNU2gxu9TDtrtvUCMtyFjep6FqoAUZj3Wejeve
7GDFtg4USnL8XN2ahmXcMPUHTTqtRoPhNU2vFbBoXB2tRsia3b0octiTtgN0B10ZnRTtZRiKHMh4
vQajvg0NdB2plpxGtijcsKpuW4NUq6jsT+uWZnIXYj2fcv2K7NZ1abVi7cWemypEvnmVV+yYefiL
QebnkcgvSWxw6RLvQ4S/AYS2RYetUSOEc2yTL5IqcFEF3bLRUeol8TIJJCylwj+R+FiqwiZ9xoNQ
RHEX4YbN47U9WuSO6c1ZqmC15OAEyBiwt+b7dy3WXKZ6Dok3ox4uFdM/spwBu3Ual/L1pGu7aFGq
1Z2fIxKbYmM/jtpV4w8rk1YYQG5tG2fRpZ91p6GhL2MrbBemOZGGahB2W8Cp2VaxF7jq4BzBA1gg
9fTXPNFqKHngxowsJ6A1azaBjhFUj2/oGN6mUQmYrDwoVCTURrEgfoq11U4i+jvkfVog4ZAQt6r+
oBbE41oYBbs+uRpig5ZWOS7ImgTLYDNKHOuI3DBVBHsgzeTKOxMVfd/fZeyHy0g0d4PX32qyvpY1
JAciSDbIrg9RbZDtiADOaAhIQvdC1lvvtlZcLMtYg9pP/pDetFdeBDYqp1uFysXf+bX0t2VTXrbm
9EDl/FgaOJGHkPRJJwpLMt+l5kq1velCGoJaDHk+N4MTRclPVMt5yvBPc2QqhSty7Yqp5Tqs5DVn
2Y2i58deJf1yCPUrurD20g5UEEeDcu4H8iy0CsXVY9JGwwQ1pZVtCLp/Sv1p2Majv207hNJKYKM7
V/B2gu/IMdxkD1E2Z3fONPxkmOy9o47E0mlIMNSpOg2Jc017sqE8AcKIbAZzYSr9OqnHg6ZJ1FIB
aVRVeY5bmoORF5zAtUpWpja8xqFzGUlSVUydZp+WDCAOp/Frj6mFNgDtB4750mU+hp+7nmHmFoBf
j4RNmL08OkBgCH5XyMorwhGlVm64JKluY394MoMmWzVmlhEm6uBYLc80Rb7GaNogOBHIUs1RYwac
R1ihXysyyPw83I5T/pC9hZORUmbNcWUFuWXqHGBm03akk4GTfRBy55PnspjmwDNNRGca0PORJLSR
RDTyIpAGefs0iXZBU155Qfm1mSPUCAA8HclUM5XiuphD1nScbgt1Dl5z5gi2ag5jI2RlZc3xbBE5
bdkc2Gb1lOAJgCZjDnPrAcCDnulvnTnorc2JhOnm8LcsjB8GOj+8jsM6ngPiCEjJYYMJUPhjcCf6
176isW3NsXLZKPeBmT4MI9+o5qB7wsQGij6/fYtl12vwZJI5nQ+jcIwtZEU64qo6p2KXj1Olfu00
HgYMzNdFxQ2DnqsvjaSpWSKycl2m1rEjFpJwdg0oRq+QCtGdoyEksNlEchwcplQyMpMzSLhT6OIQ
lQj9kwawre7aPEbY6NnDTvbGlSi8+8CCPl4l4Wvao7zyZI/Xm0HVto67Gz2jjYxWY0LcWHUI1P6r
kt6qJIOS+t8PCNdgBcNm/OcRYf6x70cEBPjM26GczMws4A40Rr8XSkL/yxT6t9mP4BTw/yqJUwCD
HebMeHYhMzk2tdX3KonzBkNOhjwcNmx1brP+QZXEYOJzlUSN5rDOCIf/41fhSu+rJIXZg1mW/2Pv
PJbkRtJs/Spjs0cZtDCbuYsAQmVkZKRWG1hKaOUQDuDp7weyWUWWYN+6M8uyXlQzydQB91+c8522
uCy12jSP7Rc18rRUPRaP3aJTHscB5ihpvW/NgIq34ukFn3TDDUSCp/M6DZhu6j5CsV1smhqKNrDx
POhN50LtuOKVlBgVWK4msFJvQNg5xRu9tnski+CjlRCGHYti/IbVqQX+rdgAPi1Pvpu1Uq1jrrLe
A5xRuclhNGdi3glhVWD2CLWygio2AOh3JCd2IX/nTIJQZ4T+ohevA1C4ucimLVu2V2XUNjFj1pUz
RjvH6SAwZOyXspjDopFPxH/e5bj//TTTbgyre4zwgG2ZRrpbeO/2KWIpzwiJWWhvZWKtTdGL48yE
B1hMH1zgtUminyoTDEU86zeMIJpV3CdXo66eFar1YXbF1hBIOAkeNEmE8IWi+KOrH5iu8q+9XaGK
RybH+2rsCU7OoseqtR+99NWQVaCaxlvreW9Cb09iTh6sanzLTLcI2NfNAVDIS4Uvlp2Y3BUxA7y0
U8rVrPQRxIHkpk2Mi75WLmajCX3ogAh1ddKprMYt9qlGp2Vp4DSkal4uyu5DAwFgZSlAD8kOO6Sx
HW1Tpbc3TZQDB+xVqB7jHZiTMwjpRLs4HWB06hgk86d6Mj1/yhp3L+pS54CXOIzSKhBJH/v1lLvb
zIlFkKrFsLaHcFxbPYYILedvnUnfiUjeh67Dyqe/tNX+pJLJ6LPeabaCCdaIIGyFtWivg75dEW+J
W0HOFCSq2BcKTnChA+7jQQt9WQ0H9qkXOAXYKnbiNVXENVHdlzJS91HqjL6tp1tmgpArgDtoY7nK
ZvuuozZSi+ie2K8P9E2Kn80wpGgfTEwbpLy4/fxYpk0dRDqDTad+UHrUU3kr7xQP0STvyp4xV5q1
MWQ3k6JPa2bw3Hla9Vm0SuEnVX00J++UmTgtumnE1VtJEkMHuR7dsToRThrxrAgXzWmChJrZnez6
fpUZYnzpQlJY1ZapkCEwwhlZ+tAzbcqTO6PTcl6BCXE2sGhNGCC+24HtAquEXVmKejdqeugblXqg
uj2aJQOlIk2MgGb9CidWvJ7KZg4cvbhIlnYGj4ANA83AsRrNi7D8JRsbAscM9cY0zpTpM1OxlSmR
uGZOuzamMQ1i9OKuWd0TxfeJNCNF02h+ill98lqP2WF+UTPp1m3NWVmtEq/tKQZzUTTXcd++5EQE
sIohymc+M3sv94XGkpjXXrpyW9MX7vSpt+I5UvqDrLqrvFaOxDOC1ii7YM7Go+ENo0/Xwuy3XDwP
TNFWvRcza++6z3rpAfJR6kxQnRdSJZ7xTYK/rBTS4qqxIfXCtc+6njqyxS7k56n5yKkL+GwSEORz
+60jfhCogJ4EHMiHVhEj9qG+38TzcNaFxgCcJbq24/ElBclMUY5Tt2vanChhmJOt2exs9GlNnMCQ
icebzmr6BQu9zsdYUvACGStLS/DQVTwSrs30NEnX1RheVMvawezD0XeU6AYOGKYZ74akoJ0xEmll
l4sXb8qvw7q+iCKt2USdmz8KSVkcSrKHaL9ZLS8PtpU+ICLACTXIbMOxajKEjF/HkqlJbxI2Kssz
DvTryayGXYNWK+ACuKpN0u2YbgeDRUpgrNKbDa1B4pyNStEtz+LQNv2syc/JLbpKsC6zaqfbImQE
R5bQ1uCBeN9huLFYV+zmsn9tKzhFXi1wcZR67Ntpo/jMiz49U+O+iEWydT0ytafq1TZ4tpucKtYs
lm3QSEADXVd5oTLaXomqeWS3H/qdSxdUTIzcwW/CeiObJqg4s626VIlJVgGCdtUrI90HhuWmL0MA
LDDMqYfo4rjuhC8NI1t1oxptQCbyMx0Se0/8CItws1hNsZnx0GAV783hDln9leROhHnG9iWxWtYe
jhXhmJh4ueHOx4nD29x8SM5rZZYB5L3jRHexBO0BNlKlXCmZfYcXdbu00VZlXaZR/TGy21+1ZvrI
LIylnFCWGJXyHBpGA7ttPnL/owVwyiWUfN+RDumbk96vM4ZejzBu833L6B0/VxPkpfGgTOapS7p3
2eQwgdI7LnuVRpe5Gff/vk2iE5bQW2/OdoZCeehAUl3lfYUQwgRNSD9PegcDksEE2iqWHHLHeUsA
4wawoyK/IQB8M1XutRYWzdqyYrA281iuGTIkPCt9uFfF9GIrvBg60qxIknEZdZPL6IbKWRJFLxTM
xIiAIBjTels1Fe/v1JekBGsryD3RWtGstxqcAAzV5MlUaXTSxr5Ue/u+Mu1tWOfjbo6Mz1Rl7GcM
LEx1XQCSH0uWJU7e4wpiZKEir14jQGV9lUzeqpm1J7sdLjwTVhJgDAyxTDaCeDKiIHUmSRBt+qIy
W8kSGWNaC0ldGpgODOwO4FeSMmJCDTOs1Ccwc5dG2F9ZynDfddhqG33JxCXYZW17Lh4CcFEsLMRm
QFTD7H8YggoTSZWhFJsU+4EwH20VRYg+ika5jYW8E55XrcrE80GLnGNdJEeyR7gYtVXDvi++6WwG
E2He7fuI2MlCZRlc9rCeAPQZbbfwhZXeb2yeJ2PoNmOk5IGelXuFymnRvqjYC9pXeMPLTpjHHq2N
2qa7xlalPzfJh2RAq9T2p60qt4rhcgkUzuBnXvbpkAIT6Ln+Nkzi4HGTrybHemsHZ4vWRQRlpJ2R
TFwG3ozme7Szh6goyMUche67ve2nhIpF4SuswnMKA3PlmrSdWp+e1ZYgJqlP0wtyZ/ZhQ//sutlT
hLwGEFl6q0EcW7FYvXZAVmOcq/amJx9Gai6cnHPNpqwq1w3xSv5koSdh88e3g/EQK6MgCLsyD25T
QXGbCKJzmBrx3H0Sa1Asjp1xHWXGhvnWYz3w6MZCu2JvIrD1GUfDTrp1aUFw67P6xk74HVlMMSkv
R85pUR5HU5QbYRM57nZvZCK1vpZ0D82IRbHo1Tum22fjlN/qjP0C2XKkOurrMDDDIPnQWHk4KUn1
6s9rElxLdXRX6gTywavVildt+uFRG0NJjpeB28dciDNymnDbiXmv62BmWFGSYn9XD+wzW6o8J+Po
Y4rZA42RpIXmCV9k72zVUXzaMSWdU41shKn5hlTzkzx97LFHhmEYxFn5ErrZa9r1J9NsgAJ0WhAV
4yYcSm5Ko9lh9YGXqa1Hi6Y9bKqbsSXu0PT2nqUA9E8vu9nwJ6SwrIKx2oeLMmI4F2O175N6sZ4N
+lmbagwYIkfPrvJyth+nKrHdi0axBt5gIQYmitBmvIfV8Z8e9OukHr3MX/egFy/1yx8b0MXq8V0D
ipTPtFDHIv1GNP9dA6qTHYornPZUXfwUSH1+m9Sz0wIn4SDz4cpxeK9vPaj7C5Idj78x/oXC+Ds9
qLGIhn6QGSLaQVFtLnBihv8oDn/sQQX3sWmRKnSqF3mMpndc9EuSQk2kgpY223DhtLL0D8K6f1UJ
X0jsEbY9cQytFeZUUsqdNzSBugQ2zPibLNyeOgcnU7/kZCf5ZgrdS9akPA1spNYNTsKMIAhJIERF
MIRLQESf6qd0SYxwyWn2RcQD2NnyxrbIlegImFDskuhhD6PGkj3hLE2qsuRRuARTTDrTH2h+24IW
TrWk49eEWDi1cdkSamEBQV71ohzwwBF5kdnTNhwzQros7yonFCOSmV9azB4nC1N2lJOcMRGhIZcs
jXlJ1Si/5GsQtDEviRtGT5tga7tiyeKgUBZBmNOAdx41DwbQ+qwHwbDWa1muelRSAdAszgALmkb+
GhF81uEJgXjYbvtGYPKqiLEbZyZhjkqSpcx2UDbXY9R5yGriQJi5tief82CoHHGaYnHuTx5JcWy3
w8w5lxmZhp60bxotsQGgi85XiLYHrS7Mk5vb+1IyXyMNBexha+V7sNEXNvR3oyw7v+3C5zZyb1P6
132iGDtzCj9Qd7NLx6fnejbLbvQelOpgKBXT3FVx2EKlLdTbyWWA5YzWvijLMTCj+hqw3Q6buOPH
FiqtCFWmX0HpQj490GSqCA/r1KNtYLszx8m0bkIGm/SSb0IrcTQ2GlRcZdavvUZz2VdmgOEJq1fg
/wcKyGcKZWQvIAT1Aj95WO5tslZ2bB+lLxU329euFYyLSGkwTcJHdSfddlSPzU60UYW8jAHDmWbH
75FS1WuX5u5srmNwi7nYw5+6bVWCvCkqdqZSdz7SsXUb99Z6cMvAHcrqULpikVV9VogHVuYswWEP
j3U7MQyek/teb0CSsSDzh7B+hNSorp12Pu/L8bwo1KWLSq9I1BmATUfEGVpHJuI8Esp9JzXVp49G
ZgViwI7Mk4MMqIe9YiXsRjDsVyt4zVvWVue5zVxF9brnuQ5Pg5rdeWOMyggEZ6Q3rAmmjp2M1iRr
kVbtJolLwgWzI1URkrkoXoPGOZa5t+sWwol0lPckTO4qZQI1o0TxKtXVdyOp74fMDZSIXGoB0uJl
EBZlofKEpI9WpoNANjJN1SY7u7Iz85mr5NBqzrszt4fJqi9mjdF0MqOUqKzTWFX6sRTFNlcbGjLH
PhhIdkg/BDilx9dDpNJbJ9Oz7txmytqc3EOdJBtvIDYsjBPhl7VymwwOQa9ZfgVRQmF7IBC+oDQh
1paR/3wZWxALaK4CgzCigtZNUezdvOAlkCfjMxdYI5mdoxryjgip8JlnJ3bjMG74resYRwemUdus
mJ89mwKuoymx2dFbWO1zJY2QozXnvZz3Xp28whQgyVHTAreQHlj09KbLrVdPYBDuR2LVy8a5j5Su
9LUi5CGmclkZcQdFnLNw5c35uG2/hNH8c+N+vXGZ0f71jXsSL+Ry/8mdy3t9u3MJ5WaYr/PRiFbT
vuD4vw19CeXWFheWRfq2ZaHM+e3ONYjrRraPG4D5LqFC/NW3O9f4BWSzvWCbQT9yVet/5879M1YU
g2XMTKjnkado7jIX/m473tikVEhHDY/C0+K1MeeZh1wDlJLCvOdQOi0zFWVBLZlpfJaE0xPty+zX
TvpmDAR3gviRDsDanGleY6joSmtYdGOa8Lpln17dR2Ig5BTsTEv/Hk9cl2CGdJSnhngxSXH96Ho1
FBu9tIjrbTkUSpJqynBMN0xO02aNYl/3fPRkwwZRJNwFVq0epxFbry9R2VlSE5udLgnaoxCfCvmK
RMdQtVpJOJAL472HLmWqvSw0FYOzH+YFEcdTxGafqO6810410d2tpXLLyivNmM9jor1xKZ2bVb7X
iPweExh4li3gkHD1QVAa+kBHAX9e05CqtXKZIgO7rkP30C154vaSLB55rXZethW51IrM1pOdsiqu
FVSGTX8au/akZNT/MmIONZkoAqtKrmPEBWjr7Y5wkMSYxGdmdDdJrt5Q1BWWP5DJdak02Xw0TJaH
Tb2Jajt+RMXsO9CgQiCLuK+B8BpVTOtGygpi1mitVy6jsD7wJqO4UWxLbmq36VZOA1BBcC6ypaS0
h7EzLmLFcHbsQNfK+DREcKiTmnmNwQa+G5Xq2kZx5kE6Rv4gGMADkqp1aqlEOWqzsRlsDcB8X5t3
rUcAdoysUzDu3VBwJau8LmDfzYLwAqeGhNdTWGkKxcqq1KPWbyeRftXr/DVJ8YdiEisND9xiAqRA
ICuVwvbHFzYRoVLNvJYeU43rjZFL/YVQUdeXAHj/5eb+x+K06Ob/+vy7ToYP0Sbvf3IELu/46xFo
/mKyUCKVRDVtfiW/dR0cjkQe6oSFcP58dRF86zogUnFYcszRDYDG+/EExLUG2JWX/b+QVH9j8/XF
wfu9UwBYns0BjP7OZgUHGPLH10mslzAtegNdTdU0tXOuMM2jn/dMtS3UwDPT7OT1upEFsR0ybUoW
KbaGRsNBxApeGTxMfuqrRlnJYlT2llUaxz5TpoChS3koQq+4QY8uT/1o1ufsEKs3WHzyTC9kdmNq
Eqp2lXql343OR6gnFLewNjcEUy9htrCqnhH1qx4iX1baQtbIRvJtpmuwV/PSeh145j4VI5mv9dZO
esAfBKeUE6sA1fV41OwmGPVUR+aesnmIybQoij681XH+XLMNwkelphZ4SkQCi8OKWhS3lfhqvdKc
khXHyuyZleirgZuMwdH0xbEFcWW4EkJzJUX9YurCpIC/C65Kui6spEnvlHRxgDVDhhts1G12RFIs
LjFrMYyxbDf25mIim3GDBM4MIh1Sh9vVJJgt94A6CM86DMsVQX46t0WxXBwIJblDlGa5T6akNAwC
msjMnmI2qEE1m9ezxmhqpy/XUsX91KV5fFaTdswAFezX3m0WjiChvNpmElbJACPmhSmPhZdPpfKP
WvArio4o0Z+cCDfJB1SlP1ZEy3t9Ow6+WIewO3o8c/qSYPrbeYB1SF1o0pA+OC8WE9CvUwjvF1yO
iFawIXrLcfDDJpwPoi+H/TI9WGYXf+M8QH/4w8WBdYj4CgfBLkcWbiQEuD8eCLMRF7FeJeqJ2FUY
u8Wcort5rqJ3nkNY79xqdnmeuCjkEunp57Lm7QJ/iq2Vp55b2Xaj67zvn9t29tEJUnFn8WMJpobT
5dooXVjL3L+t86TZJlaCkcfAyQ6d5bSriEUyGsMeZ0l5yxgCeaun5n7TkA4D5uyJpyFAYXywJh40
rXmZSTrV0vmRgWPjY7A/i60SgHLqsLVMdm3Pii4t50ctcnaS+9g3cVyPTvyUokif3ercS5tHTkc0
ipb+qcjyAYj3faZBqzN7a0OCzmZ25svEywA5N/W29tLelwS6uQnWB4MRIowjue+QOHHisZgtgek1
yka0CAWmwr1vpD6u6m5y9hCnNFgJ5iFV8wo+iLLDbcBODUMVDshpW5njXtcG6kL7Wtb9NW2kuMut
6SWvGXfajXsWxeoDYoQDSw+InOp4jLIabFvkKGsrLXfdoKRUGP3BNNs9oE7ifULrbNLe27J8jsL+
bnIt5tcm46TZlc+ZikEkb4xj7pgfhsMIHDbi3Re3KUtwBuLgtTuoXdgiB3utjtMubaet68p1zXKn
b/mZRVFuBnKKUnr2DA+puEAsTQ0dOmlFal5ijQcYgdNqNmu121cukT2d400Bcy2KwaZShbPmxMeP
2bZG573kQyP3aWfpXWBngJlWoyEn0y/oN5HjkXwRxVCCGcIei77BlFYZb2UMglkJTQLKsR6xCSEd
0JBqIOf2jYRS0/ey5nPJi1wRbRpMJUkAzmIViKzs2pnJgXAM50KJWXt1es3HQIVWKfFjPppPpTsC
RhqHm7rPYt8DOR6YjfWe1u2nPo0fcyem1eDk9xFjxRUtxlEdEDZlLWIGcvjW+HOMNcM8dg7sWAwv
25mxeHIzq9sYipmvrdB9mpbtCTV0ihtYvreuLldljlZpKjpyJ5PW9dXUi455hAzvKR/YN5BeOKbv
5tgGVsHrpYxg284HFGvbtKqvyGliFo0LpjZx+NoMOXJ0HcjvBdY0+yFcOLMWb3E1+RDNzRW5DP5k
AryT7VNpWTT8kwIsCkVHEvChxpXKRk+xYwXBZb5SlLilDxlxsEl+4yC5rvupivZZTESkXV7MoobQ
VH9Szgg/NweBCnXKxNs/nfaXTtug7vrrSvOrmX4pj/54tyzv+d3dQh1nYZzQv1SUP94tNmt9tpW/
4pe/1Zr2L9xFGCOIRiD+/DsXhmH/onEL8SYbJNTfBTMbDqL2Hwfcnm7Bjebeo9XWIZ3+eLW0/WSx
/XAVtrpF6udYH5NwedHb5LdqXUUU6bRTWtPw07i4UpmSomrGniGb7EFOXRXkaUdMHuJY2rLUV22b
dGc5hUHTuDJI2vaVGvS+SsfnWm2OE1UW3Zx7zuterE1iB8LauGMkuy001ONRRySaznzKaow3Wjd/
cOzWDw31ylNJApEuqHiRigd1dD5H0x43qaxvCj29c7TFwpbh1+oVZ14XHndIX/dBotVBkSFiZaWN
jrdSNkQy9XR5YisJUViZCCVWbV+cxTNE0YChGXpQhAlKEI7mc50PynSVysEdNoD4JHTKaokEIyJQ
rdEvLtlhHtp1GmVvU2MVh41DwhiyeZyfk7EelvSxbIkhW/LIPJKmiyWhDIz8e0dkWaiSXRYmLmK2
7gJIgN5WDs87K1Tp9fi0iD1zlvwz7r5nwh6U1eiR9DcRN+OjyiDuuW3PGrV8bfQ4ZfOZx5W6xsup
4WYvTP2qyZAjlbFD0OaU3arxsM6cnhHFiJtrVM3HEl1MkTgVs4axOldLpLeK461LB+xyVO/LvLpo
tXZbEAide87ZaIWPtEwYBjJjAgqWbvrSVPca7kE2hC2aom5EG2RXFPo5hSxfz4MbdcnZgN11jQAX
LKsWKohAjOJESsAtZtphU9QOVDvbOZgs/NA8yCYhflbR87XI8Xmv0UQcZ326Uls2lqrdNkG6mFRF
rd5E+IvZ0yIoE8apibyNMuqk0tpXVursw3zeZgORrOrcBkMX3XZucRq9YauPOleCOiDh4DdP9xKn
Vr83i/TBcqpbp4q3Urr3aOZx/Ip2Bxv/tsaiIWRyI4r+ka3kTiOSYUUhX1MDWEwPEmOLVMraoK3T
N6MzndslkiZ+5emq79MPdAOrQfC1KVNkrZFxEKakk744O1tjtp5JB16HS3Jx1+dHHH3XhdXU+4kw
unNupZukl6+lQgBEeyt6TfO9xruK4jSo24F85flM2Nq96qUSaVa6bROxQ3oOjZfLL2mz56KP2BQ4
9mYpeFYGEjGUjcz2FTwGzSRfvFCr1mpB62bPF1IdTmRFPei6PFStElTaGOiu9WrUKh6mML2Zo/gk
STFphDyPLe0+b1RtrerTpimzlHR55SJUvS2FHGG3nUtAUfk6hADLmUGfe9EkVyyZDnnOP9O8Awqy
jg6s2LtRfz4sdESzmOHpGsaZU1ngAl2Zk8mBwhWTM1LQ6xgzDyFJdvSULuokiymQsNRPTKe7LBme
Wk9upDes2b9sU8N97tySogSTRDUxBdd6v+sMlHz14+QAp9QLpG7StM9dvb92tQaK4CiReAnjMenF
Xrbcl8oQou00rwwwpiwJr/TSS/xpHo4WslLi5cttWAp37yFkizNnm7jZA0kv55Ha3jkASjGKqddd
bAZ6jUCxbA6Z2j9khXkjEn4XRT28mQWPmiqOuEROY170+2iim0+TYZfrzaHx9GteJGdVj/M4FgQ4
hex6kMbwqhoeC72B6mzmm6FVL6tckmqlHRQDJGsjlb05mTsVolEnmn0xy50EW4q65nzEgtbl81U3
ZIzbiuaImu4w1rxk3YKNSZvfhWr5nEFfprDad8L8aM36LK7sPaSV+6FNbiy3vaVPyhFchZvBitkc
uK+ZWu+1Ahb8jC4i1FHId+VZCcRj1WoS9mZ2SObyecyNG8gEmFTourWqUf2UzDoCbTZlXZ8s4pQT
x/38pzb5Wpuw8v5ZbfIGSBhv6J/VJrznr7UJzS2DJiA+UPH+gMxwbQwC3/6G9/pWm+CTM4D/IMnm
P7q10DS+bQLcX4irYadgWO4iDQfN/j/rex0HYBBfHX491gq/50EZ6VDi2B4lj4fLOhAhx4a893Rd
pwOI67HbwBBvDfjT5vAk0+JQt6O3talS8HWTdxBOURuEpasBYrfX7HIBEEyl49tqohwgybxYoT5f
EHb2Ie2mhQ6NHavOwxujV+xjOTCenwaj2dQjKTHwiNZpFN93hLNKbstN4rlnRaefYaL7zMbpXsaw
Jczs1OQiIOdq5yW4Q7wUw2lSGDX3FhczgKJ8uXxJYfSgTcAy+Ugd807aynM2KB9yWKC6IRayUU4j
PNbivVkOqkxVLjpmXgGJbJRBGQv0wbNfFyUg/nNb83OgFqsBdVpA/X8fF9WVbkdruxJ0wxNqnKbv
hnUkSJA8RskeqvU1F+XRyMOPmcNlKi9trZYIeLOLEjzEPKYPRUPIqx6+xaV1O1jI6dX0c4rMOkhy
/coF/r5Cdayuh6hlVdoh3e5RGvd5nG/GDs9h4xlNIOzppsB+gkZImjt2v6lv5LGAXdI7q7kyZ79I
WNy0IY5FpbPbAEzSLovNFpiOsSV4N722tFxnXphXq3QCB6EliP+sCgi4QKOKmkiiCnO1+gz9wXXV
jlR0SqVuWTvucUQngTC6ZGPiL971oTdl92WkONFRb+fiAb8XS5ucnQU/vmH2R8OWmA0TydXifrZe
vBtj7sNOILb84lrvvjjYBUTdd+xUjoJxiqVxYmrhxmptDfBSMvrtjMEw0qdyU5uyOhazntyxYb8X
XTLuDNt7zkhW9y3yh07STPVAqXsWTZN765VybxRwg0XYb3NgTzuhaXdKH2pBr0pjPaIz3SKJja4L
k6PaafXy1JYewid+lkY7HMd4ojLtEhQepsM4o8nHS0Sr7drtZX0bNcNrCx3z4GT6gMY1/qg1EjJm
c1LXiaddKORDo0nBEI1kXcOA1/U70Ydipws7v2nsJgfm7pS3mc5tWmtJjJqgvq3cLug6GzJHz8A0
SqzdaIP26EPmHqnRs2yuppMEdO8rSMX9As/h2kooLzpbY82fhEicJ/VlDGu/ieW9OwGWNkqioqoI
UXlketNKH01lj9ae8UiKVLWcmzBI3K7c4sPM3jL2QLu8l81qZhyTyXjcDcgJ1qLzZjMQ6AFWtoUH
QhpaeB5Hhnt0h+miZTq78pip+05FAkpaDGIDN3wMOr1sj4o7o3zVUGtn1jiv/7mPvt5HP9WBLb3y
hs30W9K+/dmV9KMgTHc1FtOq5SC8X1Rf35bTOJJQgtFiLqvmr8mD364k5xdPh1rAvP3X9/p2JbHP
YWCKHln7/7Bu/2EQy6fHMGXxPz4ow6cfu2UrR2yfhmI+zWgsSSBbXvffXdRUYoRmlP9R9sVlhRGg
/e//XD7Cb7ufhUpq8jEAXzJsxrrwZRT83fKbl6xdj7WhnVpYqwxsrDzBAvA+DLuff54fv5M/fh5W
YN8v2QGq16isLO1kLTAEcS6d959/gsUj9tPv5HeThUhrSr0HhnbSR2c1mHeO94mqhrkdy6thjT7B
b4enut/1yWWHJVxLPmDiRaD8q6uuRHuGqJbgCCtClAQ8ybzq0xuJ+Hf0in/zo9CoZX76lVLQfP+z
MBIlhK2z/CyMNbQ8Iusf+iHxK808SYbr5K9iBPl0cDk2/F/XTvyf/6iWiukPXwBoMMtmc4bpbQnT
/v4LKBEwdIPqTCdsLwTNaJ7IzzMEkJ0/1WZT+x6D936fuljdxxbnj7zWQMcAfUL9PqjK7Auroamp
WYxtukg9k5zfYpsXhCwbZzJUqZF0JdXuRoOYOSPz8DmHZNCUaboWttjXzAX0odlo3USzPG3j+TTY
ybqIMLexRcTbvBV4uQv9MpxTTP+PLbysqL1FIkfyYo4L1w4GNtjYHfaGZfkOhrcprYMMdDvxcIFN
Hs7Mwi2ZNL/XenyiRD/WKHofW8wZuBFoWsqD1plXaXpMx2I7lDoeKCwOtTEb68q77Uw7MOHrpAPq
SiuJzMBMGjdQ3QJxdZY/oU9YFQW7fM8K2yUl4fznv6EvG5bfHssF3vbDg2/+7nGRCWt7smzmk7o1
duF+Pu8ejC1+slO70s67HbFea6zU/rQx/DNxVmyqYHxS9tmm26pb+5hs0q/Um7+UEvw4tvvj48vA
8ftXjJnnvVMsL9kq21fMeWSALwjbrvpvjqM/e2V+fxz97sBzk2LOY5r9E869/HZ8b5Z8FJ/pPjjJ
n/+Iv+Sn//Yj/votff8QMCj9/lvyeGKE4eFWjBk2XmYj6jHUrivZQoX0oxOL3Z9/wj87AZFBgREl
25Jd++9+pYVdjI6TGzpRqkSMzq+DcvnzT/BnB+D3n+B3PzuaBGCaka6f2iFYjAJS8Zm+/Zvv4t99
kt+dst7o2fPEJPnkDYe5OevsW91+/vn38WdX0vffx++Ox4m7GlWOpZ/grSCZlAzirr30wmMd8eUT
/W9rVo7Jm6ja6rP7r+Ujv1X1JJIo7v7Pj39sv/45+qiWTMUf/kBsC3Ojq/5DTNcfLW6zb03q8i//
X//yX+ilW6JY/vs/X96BxzPO7kTy1ul/XAhYPJ9/3a7f9lgsivLjz9/vW7MOuYbJP5R0sNVspFU+
5K+VkQrUBo4lInrc3CQ9ft+sI1VhLazpUO+XCf9vzTqVEW9Ykl0XefvfXFLbX0jmv39+Vai/2sJw
55n63fOrDZYolKooTjMJ4oamrcyhslYj/Im5TCuGRfhVU3LHCSLG70cSudpr24Rk8rhXGDenYO/0
q1KDPUOCuWzrl6w3n4gSIQaxO46zdh555m6Ol9XmEoIeE6Xckoo+LPHoNjnpACts3/wSnb6EqM8a
puFiCVbPs7hduUvYekXqet9/iV8vLt0lkN3D4LWakdCi6n+1FWsD7+AyxvRaL2HubJcfpUayWkXO
u2s1iOx6Fs/ZEgLf29W7vcTCWyMe8TkmKj5ZQuOtyT3vSJE3SJPHhPoxmfORTLfXnLR5OQ0Vk4Bo
W5FDb1sAWyqS6UGknOVLVL0XW3cGcWNAgZ9lbG/aJdReaHjvpOdesjQ85EV1SmV2kcp0UytaiFdF
Jj5xmMpKE8qDV7CaqeYav0F6HosZvhUbVVad3Z7EGiZ8GSyY2PYI1kq959EpLtEZnZu9W13UzRXr
202BG21y6GYtb9Mb4/XEAnxM02RlCO3F0GIE+8rjYIYPDIg2do8L2GP2vTPy4hWk0V2tQIAo2KzD
oksvJsRAqOL7K3UMsW9mdnHfmHt7aqk9OjeqmEg7w0WkuptQhlzgFkK+qR/+L3vnsSU3dm3bX7k/
AA1400XAhI/0roORTJLw3uPr7wSlkpJZdTOHhl7jNdSUWCQiAsA5++y91lzEbZEywzCe2KM2c7q6
eOj5GAFAwE0a42XjaO1r8UoiMonREudDPXAfkgReZyKamVPOJhrGWbmJzfIwjsF3aihk6Lp+p5b6
jYDYY0O/4WiBBcU1b0SbqMIfHzfRjYBoXEs69aiV6LqnOrmj+HxDdIH+M7/Oo/R7UjQPoYVCG14U
/km+1LYKpJGyNqCoKqdwY8iyp6grZdEIGKjFqVfFvbNQtmpL6jPJ36Yy4JSiJ4hMbvsfCHErR9WR
j4tG9VSWuWtJVbZ22KNNneGbJdyMk+8ktRz0G/wGJtLvZcJJBve4Oi1zc18vKYbbHmOqiFOsjAXJ
jieIkQQtAU1qyoMILeUo5anXm+1TrBtHTdVusEPEGyMmTVSQlsXPC1rqRdCMnjVjDSsV+aUq6ltz
4MZrIzx5bSHsPIDYKUDVGbQbqzJvehSZo4L0XwqCnZEKpq3x0FMjmx6EmdU0jXFFDtPWrkbiCZK6
QciwzK+hsgBuaUnay/hF7Q5kIHIJR0yZ+cwG5vQsjy9wsUhqkXN3JlmH7k8UMEoJl1chnV+7Qb8L
p+EuzeiQTOZVKsvpZgwXDLUyNkhq+ofZpGjpMsNdQYrRPOh7kJfEPkl4YnptCO1CmF+5r/OeOEC3
rCqVqQOMIBnEjDy1p0wUTpMIgCYmJ86FnvRaImGZqw7BrZ7P3C5m+vNoILtr8KrK9Xibr2SbuoXI
QlY2eQ80UDfjSsAZe55A/v+f8krHmbUssIEBGRhzhRvgBT/alaWj6nmMQc+4r8DstCtvh/HwD8CP
F4MZJslIOgYB2DzFSunRyZ5kvNUcAwA+YEO52yvTpy740unK+ekB/qgr+QdTeUEmOjSgYcDXyBF1
GzA93ZYgg2o9Ln2LpREbqlfT+NxE4IWWLrq0K4QTWR3uHxBEdFdHDmHlVQ2cKFkhRQtrJdAiaaUX
lb84RqXxSqYc+rZoL/PlnHFlHmlif8+4SdogFKrdLAHJ0KyMpLQNngegSQ3wpGilKIUEMRBY2bs5
CxyBj/1ttTKXGuBLvSKUjgmmAnvGehbMISc0CCVY5UvQTSx0fliDf5KBOpEW+5DK3WNTm4qTpf2j
uvKfJHmUMMrDhFpWOlT8ixOFQpxOE+yoTFJ2TZvcFkTjLStdKkil5zHF7m/Bn9J+gahWJJVS6UwF
5YdBvx7b/RI8jUAzIuUa+ILN4e4Bd+l9DNQK2VXnMwUE3QskpFrJV2Ki/5BY6F2JgxR+bl7tlZMl
rMQsY2VnZStFK1aJLLegh1XZzWDJW2PlbUGTcpdZui00eJ0rkSsO+0ejAw0g1t2+7s6oD+1OY2Qc
GuGVuiK9shXuJSNO32hN/CjB/cpWABjOEMmjVXqyVjjYANjTY2qb2AskEbtdIWIaNLERqhhJ0hSr
4GARc5Uh3AEm91iApvIHJ4LoNBadra5pXZrxmJT56NPfZJDb1ct8ljDlb6KW+2zMi44RqXPjmHg3
1q990C3WRVKa8iIuwrIN2k7dMdI6Z01kmq+9Os/+MjFGjioQ12weCd6w0Ms16SRX2o7VaK8HPDpE
SNgNnihHaFQgukbFCjHUcDdaYYv79IzeKtwWkfhDmcUfDAG+seUkGOcnCMB4xk0DM7LIV+cztopU
OumUvU1xCpUijHxZRJ0KQYHlIdSfoikfEHV2iTvWUF+lFnmDDJd2EAhbxrkT8mNX3zpxL6nBTRoY
W0EY5XPcGBelmgLOSrm0STPxnp+fXVzKflRTsh9g9nlVPV03LTFqZot2SDEKr5jEdEMI3dpkB5Qn
1eNT0eEMmrJbTZ0dPdPuUTZczTUTXqyAO+aXXhNnVwPvCcaiifN7xQhbfWNxveqssdjQbWcwq9c3
KB48FjjJH9WGLVtqz0UEbNtYpG2h075nTnExLPRTcNt6OsLp7DYTgjrW/QyV8QJpWWcIPTESqXQa
9HEpvy70oCHYjsQ5Ix4j1/tMkfvUNNVxMjIDm7ngSrTEweU+s7VgU5NvQHAdeHO3BlZLzvzRfbW0
1SaJs9MosdWm0jEOugOpYI9aJT2NQbrS4ozHVp5O5YQDnGM4FBlaV5zzw4d8Ju2adN7dEu8btTnB
Y/CqUQZ5EJvXkVaxRwv6fV8Np2VigFHE3zJV20Nzy7jt8xEic7+dmxl/9aSfcgmLhJ6zEAqRL2ox
cAxN3aYlakpxOfSNomxCbcEGteiPyZjnV0oA4wa4hWALYyM7Q6QSkdBjwxxp3NhaXszAzgxAakuz
bYFbO42YfDNGahhz6q+MqlV8qxlKH1tGe8zrBmOyMh6yBNRiGQZ+mgWCb2E9p+YMOl4uLTMX9Q4n
xl6PjdzHyLKzqLaQa1ZKQtgEE6F/xLH8vz6P+T/KM9PG9vfz1//Px7H1gPR/H8fWbvWxj9v/uXyL
2+qv+tX89XenMpRdmgQbFAE7IQPvTmWgsjAYEEdtiQr9TA5sf/Srtb+RkQKzmz8wRXoP/K0/+tXq
30w62eCz1qggHTDuvzNC/b3HQduKYxisUUvF7UWWwa8UlXfd5AbQRot/OryEHC8QQsbqV6mBqr6e
696d+1SaJwplEbYWFC5Ywz60B3KpFK0qm6dzmBo7Eustb5LlpPGMfDpNyqSPzkrv8Bd6my7YPGRS
EhiuWxm4OLs6PPqT0RhWC8YxqE99I5johns4IyddF4iFVJGohY5YSQi72lGkThvFijEh2bYNXE1/
IqTFBwMiuyPhhn4TqbXbliN9Th0RRjHoVwm2AYL4sE70JUPQGBenzDS0TAS/yMelvC2aJfqZo5f1
FAljFdjJVhRcNPiqnJAiz/9yJQgdkhupuajcwo9H78L6XV93E58iJiJ3gRFiC1P0pFTSIZoiPLMQ
l2yQFTtlqH2EbMex1yXb6IRzHw0PWqrc1VZ726TLEZDmg86CQdVcI1uO1SP4CTdU62NEABLEznQn
ETRJHI1+YAuBU0qo+BCWhI5Tooh0qJdy3iOGea6ShAjXzNBtsawvDVDVrVVEoJzEb5GezuC+CSVQ
A1YqM5N+RFlJ6KlluTNyLhubtkyFR/nSTZPmg1NeDvVcHQbWoSlPtx0cVD/PtMaJlQUbc4VZPT7l
49ozV9TaDqPKX5ZmFzTxTQQY1U8KjbJTSHfNwjkrJAqhaKeGQND8tmy6Q6SQASHMov42D6zzM5St
DWIFb6p4VCcpdlXGwRx2CqIug91U1adRLdgVUbnaKaYp7Djs32GirZsjR8lJ7bcIqzWOMJbs5IHa
IXXvTjVbNdP2ZjcwpIdIIf5Q9f475jUTHKGeczgm08qOUi2+rgrQZXBrY20DCxL2qiTsrTSRfEbX
b+BhdovOHF4y7rtIWHW8um3ODah2c+1YHJfcvB6KwrMY64KOdFs6GbmObR0dk2+OnezUCj88+9m2
FYdHacG0XGmhg/32Ba/KqRQ7hTPotGfIdLXwjw4SCiYTbbgq+ThjXuUWr78w7RicH5VA2FrGwxS8
lOayN3Jc0xrJ7I2hcRaUEORN3wYO4X1ndkjr0qMmz1dhkEgbRU51G5P3cxbKzwpCUyw80tFS0S2P
6gXINfHhnIeXni1sqT2IwHfm1N6r6YD1np6sFlFiDogeIRgTejPECMrTHccEnIiD9FAJ0Z1p5vdC
RYZvMXpGWP2UjWlfW8J+mgiQbxN9XyeWn+lwcUyjdThDoL/r1e5GHRPAqARVJ+ILBxEKNoXZl1Ui
QJSVKjljvU+3k5DLz+VoGk+tWeKFnuY5gJYWpDdTgFthmjLJJYqE7O24i5xaSAnKzTqgKt3c27Us
IETntTgOlRafe3VBVZo1QwDJr9LXN0xCBYh4AbWEWQfmtwXjhBNR2QutrLtDq58D0owB31SD3alW
y8MMqYlCOjtw2AyZ/Gs3nUggI4kCtRMOlWlLUnIYSoQQVcrxdywJRqna0Est9UnXbxPuPIQUSllj
As5iKpl+Ciq0mtNCBZjq5TeVGD/o4nPEK4cyVNXuRPKZ+R3n1A/n8JgQFwDfM7hOV6jUZEErTBwz
kWs7EMTbQOcuK9ULOGIMncl2SLqfxAReMo1BThiQVquM2bOcwA3TjZdyZthjtlgtJGwawZgwgmsL
04ZHdGwDzZlnek2cp5Na/p7r3eRXteYkxfA8KIGvqV2FGBKTSUdSScNtTkdQF8ajVLQPWl88alKJ
33tKbqdsPhbWuO1qJDHCmDyG0byLR17RaToNQe6HOac8MdNvum65IK54niLtXCbqxlSHx5EiTBrL
fWwsgzeoFouF2Gy4G8RXpC/Qg4hISXQoeqS0TxkEns6Md2E7ocMHNLpJNP0Wayi/YIa2NiyMu3qI
950CkZUw4md2gkMdMFER4uIqjpduWybhowZ8xkaqt9VyxV1rcaGfTkrBt88j42j2BsDjcE9f4dmC
IRMQMlGZ6QWR1BbBH+TsAOGRnL4KpuDQr9v2GQ2dug9exS7d81s7Mbgqmwk3oLn5ugW+s0nUdp+I
wrbR9JcAed3AOVHthttANRzE3IuH0qm08zi6EtXpZyBig53R2IlqwqhviU+Wlvl1UN/lRbc4aVFu
h3Cot2SSz0cJfFAiy8e+iV/0gN5QQ78En0bnFbko2aWqjlfo0iPbbEIFolfzVMC39QTRvIgWBIGx
qOsVbgAFgNORh5XjjaZgjhQlFJ4wy/C8oF9xZxH1haLG2feJw6EjK3kEOHaWT2PU/pu5q5QgGDLh
s1CFIDv7U/KulGpSnheBcE6Sez19SK1vqua/KwGv/l7PvJ/Lf5iz/OkSa6X1rpKaeYr1FGULsDes
28alry5EsH5+jQ+Dln9cQxeZRUG10VYXwftryHI/g1CAhgaakMURkcFxmu5oCH9+GSQUHwo2awXu
4EtTUPghr/v9MmGZzIqRDuGlR3FbJwSYyauJ8b5Xr0aQZ3rb0KD6LwDpH+ZDZvWfHiW61/+xX5tv
r3/pQeQvvztI4ARR8f4SvgEF9MN4x5BFi5Yy3kBJpQL/10GC1xXXhgnIzUAuwr384yChrJkFiB0V
BWGMzD/7Hx0kLHBKkEx5bBjt6B8fTSWShLGjNjhHcHbb8zQ9v/tZ/uL1Imrtt6eSo4rFE6ngviQi
zdKAmP3+VPZBq3aBNvXnftFcWa5+zpV6zgI0gE33swPkjvMjdnIVYaEkFDsAQtumTtzeqDBWCXrp
k17vF0aDW4VQgj7y1Lb6LmQAAGTr2Gvoz9qOLXiJsos0SFoK8qirlUuYc1igx4YDjR9xo0UoLmls
zktrj6K2m9bFaoTEoPxav/BXG6BMWdRqeW3hrgud2gKAbdbFL1mXQStV3/p1YaRSDLE3RvVBWpfN
UDIvRoU1MGNFJTZScaV1ka3W5TaZRglaJEuwtC7Gc1McBlZnetpUbrJjrcv2uC7gGSs5gKLFaVjb
A9Z4hbXeRNlGilrxIqzbgMR+gOflAq4cHVtOiFJPbzisulsDsYXAXqLU6BDZW4qq33frZkPmwfWU
mvtk3YbCpXEk9qXaMF4DaSD9yEi2oSWQExW/dutWRlcD6aq5zcLkIrDXYXNxokB+btkDLfZCyC5H
dd0cG3k4ZQpRaOyaTQVydN1GS9V6SNaNdUmzq2bdalv23I69t6plBC9CslcF9a5bt2d53aiVBRvE
unVH6ybes5vP67aurRt8wE4vrlt+yd7fUwOM1ALcC0S3Bce5KCz2E/WCRd2glspmpI7QqSda6grO
WTfRWmj0VByGOpwiKpByHnch8tdoQHabU6NkA14HObvV1+KlS7JHJIIPElUNXkavpMox6YMLU/Oi
r+UPukPI/e1zyZdH5T75wrx8T6mYZoZMDRWUkk7HakR+09chRnbsj5Qna8FlcEKiAuMtABGaPIcB
KaJT2yUeLF8em/rnTPVm0oZUqeb6RnwWqO5aA/Z8Sr03UPeJWvZtWevAtSCMqAzTpEmBuVMsqoJx
F1E91hVE4zAO6Rzn+TdLAo8prMWmuRjaiTK/YECi01WtJFS2FKfUqP1arAoyY8VsLWCXZIQKnRyE
ntKWgUftaLAVbQ6/N9NaAPdrKQzACBCyrrQcoSmUyYcL3JHaOewoomOqaXEtq621wIYyPbjRr6p7
+FWB57+q8XwWgnl1QsTnaS3X60qHe8BPAV+4CmFU/yrry8hRI6OBFCqIbrfQlizWg0CJrr1b4YeH
SifUI5pp59bNoeumS6VW9Bn6CZevstI+5Lrdco5M3DDuj7oUYlhIq8KXFg0Q2mK5yyRLYFazyi27
usT0H2cXA7pCijukvV4GvnEQVG/aMj80gfJqpPWW9e2URFK+sSQ27jkTjkH6CyZNfyDVtWnTZSUH
YA1IFyfMIIOWXNyMA7MNWdYvamxySmFslqiOYki9U1bFwahx5TIJ4r8fr4sexmTFhIw1ah/WwRY2
IjET9COoFjJaGpEWncRMfEyZtCn9qgULMr+YUmg52OfauCPZJNBRWwFwDdTY+FaNgrxZlrolAaQe
8zvM1qM34GpSkMduFJS1UAkWzg9x3JwWMz0rMv0Xq72Watx5Wcupiznj6ptzWPKwTAc9sQHIyrJ5
uF9zEnI53/QkxmRO2/RQnccut1hz+v0o6uVLoXZY22LhJ1Q3+HI9TBsuh3qXRvOlVDIao8QXDBxd
osEv1Hz2Wfqjx6DmCnKf3RWg7TAwi9a+h9iyh1uHiF3T0cQr5o5MW2T2pXGn1SWFjppwAs+JOHRm
NUC3ndZ3ejDfmYW2PC1BQRBUDyEMgCeNmnHyOg51fiUOhV/OdbnJ+It2M2j9E1135pvmDD0ZxGXE
rhR1W3Wg+ZCOWBTMHHt0Xj7rAz46xtiYwty+ZegxG/u0nu9FLAxDjNmgrKL7PpPvzL62DtM8DbsS
zrZTBhnN4z5hVimKz8jGFYf2Rv3U65XkEKiz2NDhsUvHPeyiQHmS8fXcBrI2gQIndTbpxdn9fHv+
U/ULuUaXKDUsBv8ITdaS8l31K+c5mtwwKc5dmjjIoneM56/HpvU+v8yqRvm9NP11HVwnsA4ALvyp
COgMuPhhVJzzLDu1unzPqnRl5vkLyyXAjplJFACf7TBVXmam21aOQCPBK5eLAyvVEfGfnVjpdRT0
N3otukoEIxc0Pq3FH2WvD3jOSYRczLMuhq+ff/S//OSwX8hFUDUFDPvvv5CW92XcWWlxBpZuh/Pd
ijeJyi9kiB8yZCEIWcbfTzorWULjQf/9KhzjqzlP++FchWhaBF3d0T9R6QHW7BvDQDSnMDwJVVZe
FxbPoCXuRnNExTkDRVx9tEuSe5Gw9NcIc63bgl2pL4czLEFOlyWja01OaFGV4TkW4MYG2BtHmfdG
zzmQzGRU3mDIeE27DDwgzsIF4X3QSrobZXHqpp3yJpD5DPeq37Aq4fAnl3pT1oqfRDhR2IrWIZy+
A/P0g8ya18lY5/AALZgXnebFGGzDmIWtKI3JCUBSjsgBkwzS2NiJLBDNUhw+BL2U39UjfTNLCo9a
Xmleq1fdVpdGdyjZ4iRwgXNipG4lyhdNNApnWtCMSkp2DERGjB6Cjx3r4rMpMP41Rmk7J+pzpgBs
LnB6Mt6ie0ObaFEpPSZeM5ITmQjTd9o2HcETuTTtkdm+gkiP3uZM80W9zuHdRye5XDMg2toDNm7Z
xMvd5Jj0sRdJcNqX6VAb7RciUPgkH98XngdeyBU0QvcdGPjvzwNIsLLgz7ozjqNXxWpzZ6mG7KwL
NWrQNnqB3oE4tI02kj6ByPgVn5ud+FVIG8W0uAV0dWKQao+LfNJK84lIzshrsaB6fS+qO0R/Pb4O
mqF4oE1XLNV8K7OpO6MU147ZCNQjLERiXhZEjta3Yc7AT4oYki5j3wJFrjGp1p6eLyj69FdrFRAO
Umlsmly+1wkiUKGeEaskOXoJFrMhX8ZuRv0pMfXdGMjfdQO9JCO9e9PKtnox3QVWcjSGBuS3AgAV
kMVU2f0s32rDcEqT6LaOtZvcwAM2d09mmqo2daPo6nVPLVhDtegxDJkaUEIFj7cI3ciRdOFV4JnY
VJbyLCnCkxTBa62BCbuRgeFyQW8kTKUrqY0vApOzigF+GUIjwrhgl4gbABwHg2xcdGJogbPVBdXd
KWsQOfE3LWHy0C/earhBhaGv/uxT2hdOCm8REOLRKHRvLFUnYoa6ibGmyVZ8nVY0zWdzcUts1XoG
wLGioCn1kHMJL+MgWNdj3f0E/AhKYl59cUSEdj1MEriockiIl6QfdeaLsYL42pTC3FXDhd4hFWra
R0d0Yy4StseyxLQjxFcrMD2MSk9OhQP9fCcaw60pZc80KknXsAtrhyxBIpHDyYLR69jeiyavnF6o
ExQWgp+M5mFJsJpZ6GFGiT5+K7LoLrLkJSBLGQBfAbzbhkV3CMf6WKw+vK7LhEtWrSrwzNir4Xio
fhn/S8y5SoUGfhSTbVSNJ6HllJBB7lZyt4QWjYH8Stdcg1Sn0TwDiNZnr1S3gTE8VqKAzE886VrT
YJhSj0k0EpYAXvrQy4OxaYnn3hhJUPjjQHYpdcMWc3DrzDr9u4EqxChRbRnQT4agkb7Y2r54U5X1
+Pt+B42sObGqtAcyS6hde8qLaTMNa5f1kjYnmH5f6ILXJs7vU7nfVgblw3FajqKC0wUrQ1n+AEQ6
TAhKjkX4hBPvi43vz+0kHDk0lGQsOQaUonVnfPfNxhYYaAJqBcjpjNM/ntpNHMhrbHO5i0qE+ek0
EMUGV68kf/1k1hAP9KTENZbgIGRazp2RhJ8YTq+nQmGypfQPQlxeStG4zSjfOPVsula+nWjiOkWH
HqSLX4pEfRSirLoJe0YTWhR1fq716+zAprBwZ3KiGXQFftEpxiOd1dtqweOtaPteIb1YkQ9LOO+0
yrqMaXho2LYNIT2k8hptwUA/MjdTJT3mVePGWbAbK5LPM+CInZa/LuKsbbIxfK7hMTzKYdCh4lPC
L37V3we3f9/o3/+oa6vw3Y+a6sy6GgK0zub0Ei3fZvPv/bj/0z/w1b//YeMQhYwaOUznc2zegh+2
a+X+i8fiL56/d1/g19T43RdAXZ+KqRzOZ02+wiRp8zOJ0bz5/CJ/bpiuj57JmJzRrmbqHx69yWhp
Jqt8C4sEve6tG3Nqkvt4Mr64G/Lvz/janEKBYxBHRfOL0lT6cKE5iQu0hZV8pox5Y1Nz7jIvcMhi
tuPNo13Yjzt9Mxy/3aB8epjcV7rf33ij262y+/wLy2sL+JPX+tcHffezWkNsVVbIMtJ5gyNuRHe6
7f38OvIsd0WSepLP7+xJG+bPduRaTjW46rl4+/xTrOr1P32KdzdX+9BBRsqcmTL84PMTyCPXsDvP
ujLsS0tYgOM/apuj7uS+dY68aVvcatu7wAn9acu6Zy9+admYsm2cy45w7LeF314iMsvt0Hko7f4s
bmZf21k7hLvb5j73bj//6MpXD/6HClqQW8RVQsxzaTN/9doflVfdSQ6h4w4pBA65el6+L/2rt6Pb
7whbmDbJHh/3PjmHGzYfF7Lr92Dz8Pmn+mXw+nhb3/2gH8mgcVwOjaHzqaKdZUebZZv7wV2BBRUw
ts3A1m42TCp9sgq28guNNPfz66+P758v/6/36MNqw1IjkM2KhENcStcYx8MipOehJwTi8+usq8pn
1/mw6pgklJA9kc1namp7GN/EaTviY1fcWuxoRXmfX+2vb/U/v9XHw6TA7EvR6qQ/Q5nk5HdThdf/
2QU+nPmUCY68nnOAIiJVTugDWobz+RW+uDHG+iK+e92FvDILY+ZFK6tzi3y7kp+W3vzirnz1O31Y
3FopQxNrJN15Wu/KkhE4mWz+s+/x4QHry6XtizafzyOhWLF+zlPM5/nV5xf54ukyPqxKehAKM805
dgOCwlSrcNOsuyhKvzFIRUmQZQ5Qfz+/5F/eH81CCsKcRQSQ/fv9MRVDCaq4689q/rNJvFSJaPL5
n1/jL2/Pu2t8eGkyBIJCHanTWUsIdRWv8/yLrsJXF/iwJC5pPilJWQ9nkUWbZnSqZF/8TL/2x89e
/A/PcRQz9AkynmPOBjZg/T0miBNHBMySm8hlEmnnh89/tVXS9+las37rd6+ORP9P6uSIPeqJxnDB
qnoKubY9vqLV2Q32Fchw/sDW3Hwj2ea1YN907rqrXz3XV8qeUzvsfxdw17bYRP5XH+8vN/L3pcvH
JyduRlEKeOmky7qRCzbEW3VXSBs79VXnsbD3WFgOPxFukThyPx9Ivvpi9VqzVT79hT7c90Fo9ai2
ZmoJh8BkB2W5jL79kDk31lk/QuBwngkDtgs6tl7jV765Eb5Yob/6CMaHU5Ew9aRyjVV3Fg6lPeEc
spPvmgeq+9D/mLaVmx8NX/CFn+Gzspn89EI21o8vnpPf545/VNr/2iU+PCfpoORqW/BoAoHwSNy2
47Wq26Wbu2E37XYkiNnLmaSCRxFTb+5VvnEFecrp3Wg32tFL9sVK+etg9qdX5V+vu/bhJzEFi9lQ
wZJSu6qv+ySUTx76wmN8kOy3cBd46cbcVVuaekcy+O5dXEfcos5PvdvYWYuEfxQH/1UBr3P0r0b3
m+yvB/f81T8G9xCCkf5KABnXu4Zk7p0CWOaPmGqDCGaqvzos/zm4N/4G2FFfwRSqgXFz5S7+MbjX
UQCjF2bcL+Km/HcVwH8erKMwhswHjUnTuNr6Id4vhIYUSrg/tPIim8xW5BXTJ43zDGuN6aM8hRKt
ttTLoPoVeSEjrS+i5xziH+I+zwQYVkICNPp6l2jCZRECV2QGg2vLKI/Zig9M4uZhhidoWpXomO1K
BhI6d4A5qDcBwUUdPdVfKMIyMa4nrAmh3SxJJTIH10UEwBqaXmkSz2TfDEDK1MGPggjTp0bgWiF2
OA4lBnEJE0gpnB0JZO0SlOgCSZbf9vqYO8Bmz9O8tn1npLu61dLBmrrJGQbxfoBSbCSzO8r0eTqy
9lb2U2Nrjfam8z031WqYrC3igfsByJA4jeAeiuTNgu7kzkHJdBjTH5YpxJ+FGuyyKtEJVJ3csiBU
CcNkdtA0YTwGcQTLccjpHzTJfVznCMgygjYbRuTwkTZaMpOiuEBk0/s7BMOMp9L6fhVmVzVkRKiA
R3WKa48o3B4mZtE7hUArcVTFeoMtA19G3Z+qKiHkaS4zj8mjj0F1rxXyQ54MuLFXTMUIIGGhoW0o
hO6QsPt9kJRTWCxnLHTYwQzif/qkeco6KIx9uWbMVMc+MrG5EsG84VCJM2/qiAUEctGWCMmqLsFD
Jeu7pNOv02CmNTe2oyMvoVuruemNQvlWy/hIZLE9y8roqrXgl2JOtk98IT73oCgM31leMWjyzAR9
e1XHemebKT+NiGzSVVeNAtrTNun9GvSxoUUwE6xS2NRDUm5TiVZpJfhNIgAEKNsT0cgddw/hZ2/q
NwjCTkjPS7eZKSvVXKV/mpLmruDTszO1gxyQigYeFdS4YXs3kQvkDUlxCtXgZa6H2ctIUQ4RyDta
Jz6odf2S4Eh1JLzIc93pNMzD6xB5rDTRVw+nc91a3xt9hCk6tPyGrb4L6xgvpq4du769xPSwheuy
NLLlxzxl6dbIVzlI9ZAGYb0ZFiKBiAA6FQxx9klnPZepeNNpzXezmjdNTXLFEnphoTtVO+6tDma1
KB/KLDrHZbmfEiw7JV6fgtE3nX0gUUE/7vRA+4kqucf9OiqqH/f0QW21GJZbWV9OYd0Q586E0oPN
NNmjonNd1a8y8KckE62qhO24KFeN9twKaDHz3rovLAlyIT0xuYntvNN2Y6TYYbVc9Yu8DYZ4RBvW
X7PY0ajvHJnwH6SS1NVBHVwpbXc0NbJFU2THZR/fGJKxQthulwqRgN70Cgf9GLFhQxqQmhuFb4WS
4jHRiz2FupmZUritEdEgR4xMt2S8Ygs9T05RkbpbSLJq55wazEl4MtTiZ9mI33MT2yepKA9LwThI
IrxsqisVPxXmSbEJDNtIqm9MRSFQptEJUyzLhChe5SUw196opcuoZD8UUsZccRl/9C2zkFyfbsBc
o5MphhdkH16tik9zbJzMrPYYsTDunXhfTLVVffigj8VElAlMNq8yZ38IiMWumisrzg4i/jX8TQM4
2+CcGIyxYj3dlsSU7Q1Buzd7MpOZem0US72TRE1mdF+2zsIIC15qMrm1IJ8mXoMro7RutBkaaabG
gFXpGhvY2mXckhixFLIUjA5BEB6hLiVQ1orr16gGUd7NtLP1LHPJcv0ZWm8xsPe2U25SfhP2AWkj
h0WGQda8gmPniZHAXRyYmVQBoophwVg+DokP4duw4ySz7LkjG4t/jmBMdB8aSTVaeI5gXtpop4eD
KkiQ3kNp3mrMvqaCfmtegQgvYxycZrG1JpQEPaLS3VROm0BwUlM5RHhgmJgYLxBe4x3LMQnLKmmj
6uQJUX0rx4EP36LZhJHeuxO4ONsK2zem+vFGYMLRaAauq7qmtGdWiWrsttemoyq2Ccix2u+xFmtp
dUZ2ne0qabyE3XQjEpjO1HxGuWocytrakuM1oo+Ze2/s5R+pBQWtNQzc3kZCbjYs219lxH/rKZUD
xpf1VNMvf8ZcrH/zXTmlmXiVYHxRAf3CSPwTcyH/TZHAQ8O9JmtFN/hbf+ggjb/JeMrX+Tg1zjoR
/a2cooEr44o3RGSHkv7v6CCZSP52auJfMoFc4ObVqemM9aP8Xk5ZgcAkzjSrSzHFJbEreoPODUph
NhWPcaOYLt4nCUkt4MAsNbBFaN2u1qSfAxujDR5j3I8ZTg/KCsJTxX4blqHLYAptWFPiui8Y5vUE
tidG8r/snUdzG8matf9Kx+yLUd4sZiIGjgC9lShtKiASKu99/frvSRqJFCHN7QYX+CIad3GjRTIL
SGS+9rznfOtcxv2VFrAbIqjFJK7bdG4xuUKpbHAuQCreGqVdTopOGzjm4wmFolvPq7OpHHx2Q+0G
N5yeW4J1menbbtIIJmaZ0ZqjBHJmV0eMMXKcS7xxP+k5+QyJNgtP5TKk3AqT2xHm/bCQkVKWqv6K
QAXpOi4Sg01nLTeLCaVDQ1y1ljuXWOW1Ly5hOWSnlbiWXq0dRrLjT11u7CCubuZ57dwS11njXntB
cQ3F38IXF97Ry0lVlsGqxRYoim9Nu76jYIPcsD2S9Tzajj5Z+sKa9HQxZ3EpyC/HK/fR4gjbYwkr
FAcwRScYJqTpjhxhqUJM1ojpCoUNC4Q1wyQddsK+FcLSScLmKcL6NUhGNZhDTdhFutJgiMQIBCYz
xHRm1YOKIbVYrhGWNRA21leqtd+kOiyW2F8dQxwKi8y8CoBOE25wYa0HYbeZQV7aGHLG4JiiT5TT
Qth4WVj7QNh9VXgA1GdudOETotaZ2TiJXHgLYqFlJPyHiSORhUdBp3Hh4mKqrL7ocDl1LB/GuKBM
+CLFCD47wjulwk+5wmM5uK4RFzYUw52KSyNE+KoLH5do7RXBDGPeuD+e3M97HGIrPCP0o9qkUAbQ
qXhNF/fpCD/aauU3RXhWMLnqKiBg+epLiTUvrMZBcDSt0IEYgVYZFK3DFhH4VrKOci+rLvsqQ6PC
GrzaYYMgFmOkkODH7o5aQ0OM21qUeb+sNXcxGBp0pG75xdGhWgYmudSjnEfQuEf7YVl2FPQagy22
mZSVEn+81fIMwhkV3Wwtt67twjyulWET+0U0YzrgKnZ979gc2/mYtGeq380UB7F7umyjQEc8hGPu
rOrMeoARypsgOM1EdutUUGBXlwD/2OLy1I2gQmB2JoehgaCW7jvUJozpIfPDCbdhle8H/qJHY5Re
0UDr2/0e5+4FALZmpie1fN76DaKMDeRZ7hgfF2oqz0fZLJZeA+YSyCXcBkddqFYz2qdfwnxkftms
6xNfl4Afw0+3kWU3uslkPQeWajOro8Q+wOJ/vdMjQ6WgbPuDd4IOPRiyZotv4u9e+SbYHwXiXugP
PzIf//BN2gFklczygsbTnhzQs2/S1QMmgFVDNmlhm84jfP851dflg0fiJQZ04a6keGD9Hd8EzfKv
vknHYSJIJOD+CDiaOMjXqT7ISxBipZld9KVsLdJW76Bp0Clg6d0SpCzV/QFyFghlURLSDPlYjhMl
nTBPHq0gWM7ugsStTvG/BECaVlyHjakvgeRXZ13k5g95LZDSMWIzfmwNmFGFebDckTq8mSL1F1WZ
1OdFCJxKkk2g7CAS0QB0lRgCKDc9i7zcebAl/4rcyDj3FKYrVc/vDkfbTG5rezAQVMGJdKrRnNaV
b60AymTFxGqkaKEY8BqD2qonvlapG+Cz8Z0hx+nSMyqEWXK3WrfwW8992Q7mVulAShAiZMakbX7Z
cdNjGOlJgrx81sJgD6+vlOrtfVZ5vn6spO44APbMogbkb91IG91zQv8MdvWmgPGxSstzy8/TieUp
vX/thw4wE+BNkM7WxO/dme0QEiDorOPJFnCx2xa8CC2w2pmhenFwbEoQzUyCJh6+ha1aoBCBXgTw
5/6L2cXaepAsIwNjZKYLolwEghp4k+suG9eioAN8Sw1kgDOoBAWe4hy6eet94yQFUzkdx7Vb+ePG
DPq7UioWqRccSRbOJFFM2BIMqOmlvAPNaivNcBgBZz0GTjecRFmfk/M6EY4/yZh/DTovAPdVQydA
qo4Kc1R81q0AX+8ot1rEXGguMffky107MewSvF1Ymdc2IL1VLdXObS4X5lnvFPIMbSAYtdTayG7c
SoY1oI2db5LVSUdaXFuTvE/OkTuTZmXd9oetRGAx7+KiqGe9G+RwbGbVasjd9AqGYEHiPJpfvVGx
oE+ywtvejYB/hXp4Skck/AIMH8HeUQwnRmP2ZWx66ZjDixC1hbpd6JXunT0m3W0K5cS8yfrgWgr6
/MJvYzR0UViJZ6muA9qqKuQuWwTo6nnVG9XMKyH1mXrwraDcpm5QwJ3oMbIEfaddEu7Z6HtnprLJ
s3xcFIHMvGFemWhXgGv51xY/2WKqnX+wxRmhxXqLJeavflhiUgEdsJHFsKP1KLD2kwxPO2B0jvRB
0OdCbo/9fskS7AObCSqsLShdLs/raSmY65FqYy2GpqBlwHS+kAJePFXn4RP8PbrmUaP2VRVf0PgK
qK4Kky/sCAxNvbXEVKGYl5BD+ZyRRQaYDVhAptDpN/dl2MxbnYsnCzVkiGdTtKmdT27d+hNXaCYb
hvWtTuJrS6gpU12eNXWNvjJCy4w5rCqEl5GUYQZCaDEHBdOmQqA50pSvnZBsroR4c1IUq6LlHozB
uVZLqwSV5wp5WqVE9rkRAtDtAMm1VdnLFG3oEUtloRVdd2Y2zaTxIhIy0pSNrlSt/uIQ6aBplV4O
EbRiGdrTkhChdoUcNST7TBGbsJbcxQhWdx68aKERXlVCy7osKiSfjeNELkhnoC8fhO61nOvnPmWw
iazoxyPS2G3aHNuV+5A73XEAd6UqNLR1oabtpS4z//CwkZN8If6Zo8elrMkvBAe+PRur8lOAOLdn
AYrscq2YUuu47RHwhtyLDwI7exTZp4PQ+Fb4DC6i38GYryuhAt66EN0hYARIW0UjPIX3zRWq4aWd
3GJ/zkGKfmXEmVIWAuO9XRzWj4rjTJkChVUWNmLkiLmdRyp1ZwOZ8kbolQ8jo00mxHmdcQqX/6Fc
o2xe2eElg7X6tEX03Eb8vINOYA7f3V3gG+iiqxRrCyf6VAjN9Ciq7wxE1NEjgBRNyKrb5amqaN6J
H5HS+EiupUiwd1UDyhNR9spFSaxCpl1Frl0Wuu22VTtHndnkc7SOH1LPuvbc4bCJun5O0etoyFQm
WjRpg/an0AhbmGH9mX9bphm5m97alN1U5qn8sL5IqzA+cfrkxjzJFMGVaCUzk8hm5muuP7Oa6juC
f8vQKg/NtvCndVN6C37xVGmKeZ4x8SFHbQtctbpW2vIQVc8v+qBQ8mtQWbCN4ypETKrOQL+maQK7
sz8siipa6DUIhBEQ5uAz5cLYr41yYIlCYQy2PxFou0E7VL3sODJ0lIlQHYlgeNej7ij0QQr6JZ08
h73X3eOa3BsGicAa7hsvKz/7AEJmvudAn2FmqXWl5nT1vYkNb+WljATiFWhkBNmUPljUmryA8sEE
x+1+j7x+4xqODKA/nqZyYR1Zaf+pMstvdUSIkGfZpeUx+eVHlzD3rSBAMKYa1Ap5b4FbteAbi+Vy
YQPGBIau8+HgzrDIH7Q+XAI51ecQ23VwjVnjNGwrpASDZFbD56SZw7o3IY7o+6+2C/7aGW75ooFE
htJqCKSTtPAP/Qj2TMroZqRMvTBmTMpdhswwRnbKaLwNQ50+Hml5/VkpSrgMwFuroGbbBDemBbjT
oKBSCLmZ01uHnWOiTJPwhXyqUT8e+gbCQDT30KaBIxshitRisKWa+YFzl4RAfqvSh0vBUahaBvC+
JGYzGSNKfYV8hn7gfdXpXAIGeHorn0e6M9Py4RS48grpVfgeVbk8VruO75ZJPgkm8Kq8b8r2nIRz
VoX6jRx4MAYM5ckYQWmiIySpRxFdGkgxil5xFpD0XxuNu2EOidPZEos4nj2tGBZCXrKfSoWx1LXk
AqKmFuqTgIEyaic24tS+3px2VnrcSwADkiie6p7NDEAzqVG5J5uniCEfOlZzEZjtZ1nNVy71SPRk
rXkUxti/PpUYFMiuNIZLpsFYnuuyN0F2cRljAPOgPXPN8aYQgo9qfemqzVFZtJA4GJC5obY4jrD3
meVck5RVlkEOXGXpiBXWFo5RHxPVLWyi06lDhlfksiAOZYJNbb5qAYSKhMfaisnSCwUpkNzzLpXR
PnHsoWWESwoW5tgdyWaEsgGJM7NyiHJKgbPSPKM5hLD3QoulRRQPF6pjf9cgMksBclcmgU9pSwvo
EdNpJ9XnQ51f1JZ92wcMDCaG0Uz7xHDQUFfju0hzB8ZJ2+9h1cB0I3+Km5QGUXbiO2hSQSpwRadg
pgbld8Nj7KlR8jO/p7MejreRojJd0kafsMDzKjUuS8llMFZ2vkhm+bkv+mMI3vNJ1SQWaTwKkIp/
rEaQd/TkC513rNeidaUPK7cgfYdyshj0pVlV0ac2RtJ8xlywspDGuoNiy57HcrBSjYj2VpeMsz7z
H3SgxTMoWOEihc3UGcdzpWQ0lXDBm3mg1XsakxNXK75bCCRNnRqISmBhLoc+nVF4+pyF6kWWqFd6
hLBbm+nMh1T3UPVSxxMl/eG8MvvVqGK/Smb3JvDf3PaD9Cnvs5s4oEzepdosj+kY2UN33kaIcDGL
dD2mOV22JmwuyzoM5gZFp6UuFMFMGoqoZihI3vwf4BhV4K1+hicUMS3wshZ0OpBQkS2KGOl1olgV
tqIPjgYZ33UyuTMW7UUxpfMxddY3V9Up5BrzbFovgxPjkNHeZbbwjwxvGZ76h/8GuI8BrkHm/fsA
96YBVbB5H+CKv3oJcNEhh8lCJpCFXEwwN/9EFUAEDQYZtjHDgQH1DduzeUAAa1myLAJQBCRflcGN
A5ie+dKpm+vApQE//BLQ/inAJY795QTxYEoZMu+BggYB8y8nCK4uuUiTrDkbobhlfrP5StYE+i0i
yZNbeKXKGMYX2BqHzD0NSsQgDaWrpmXaXjBxv7Koo08q8mPsdjGrpODYb8LTwYIYhfjjWpajh1bm
EkpZy6yN1CXMfain2Sh4aWTTmyaVKMDLnzsSRLXS7+CJBHjgO/rCFTbYkcZFrEsSHFU+ugQlsx2e
hABBHn4CV/A1H7Lb1ofvKqvhH3RN81OJGndKBb92pM9uClMWFB+aFpy2kX+CZO7XKrOTSeBYF6Vm
3Me4mXnCB6OyG5iHcKcAF8u+wEfIRFOoUeiuhwju3g7Cle52UBkj8OpuoesjHdNQYzKhC2JYrO2H
wkeZDRTpSVXHN106gu1BJNCI7KsscB7oN1/QuEWcoWAcXfbCeu521Bvy9k6O0nu3zr64BfTyWXpP
WkNoH5XevIEddllB7Uy5ZRkwJaiH3tdYZc46j20mt0wiuS7P7jvFOY0k5HySAWLeXGVOf9ATZ0FO
wcC8Yp3UFSQAusvQCAWcIC8XQ9Yt5LI78hxn6cF0hBbe90APNwgR3GiQgyFrfpd4YzKTRVGEL8mR
S+SQO8I8SDULsCaFeWky++I7/fc4dOBZBUSRya48bUqyiURWP+uecaXX6IfaQXSje+r3RjVbYh3x
50bTLHStuUsIFaoMR2Ea5qKp4W1ymzo8ZNjuS6aH0QIdDGq8hjwJ6L8wEQjdr6yjmDtGC9liBpEa
wWFR+3ieiPH0JudbowHKALZhzho9oOgNnZaJdumhW+XHgZsUR2IqFQIKhtIJ9q8sxv661Fg0hV5g
wiF+9iJQJXLdY9ohmMWac+IMih5Te+QQDxXfYaLm3rwrx2s46HhqapM5tQtXbq5HWzsKOlrXlhqn
RPMu3iim8QCD1z1h4J2NCC0ksfk3WclKVMHcadn1tPPlYEmaQHNH8pdyKoUzyYrSqSxnjL/Jh4qM
UAM8ds4SybIB7UV7k4TFid1n7SSvwnzO7P3K9IZhpjb0lbykv4W24Aj5PgRnamYjTa3+VglCS7lU
iL5GMAAJ0eixnkIn3EPE461i1fG1WRR1n1WbeXMI+So/+MQ2uPW5WlteNzcDQ1uYbiKnNxaDcdmM
IbRRg0U3FkOJdmJdSK4fmJCaQmWkFb33haHmeRVzhCa6r7tnOfPlwE+aqd2RM+OFfMvxrv1CFqxu
Rn8Jzd4R8IoAiSyr1RgotWOcvY1U6KqxZDjaigD+oSmNvDiZVYMG9ikGo2H2xaEcaupd1MlycBrD
hYGdiX2aS6Z1L3sod04jcyhBJNJfcUZo3nSjgMlWtbwbubbi6ovqth4jA9qoQjQmJ6b7FRI5Xz+V
kfSUJrHTQ0/8r7t8cpd4j9+7yy8gzLY4S/7mxVkCwcPhwb6pQHcJuRHVlh91efVAR0fZgBrHlKkU
4WJ/VoOoyusUiIiBwFe8rQZpiiablG4ciD1Fof9vOcv34RZNY536DlVFGtEOb+J1uFWX1KBjNYSA
osbt5cimWW55U6uJPw2FotqopNlN0CoxtyZJriuhvMZQNhnR6CIHBCDBc4RAW6FrZ4LtZ8797KeD
FQJdodBbC2U35lu/OQ1ab9lAdB0J/TcHOu4pJQtr6jRudqMjE1fKnPMa4bg28LPzxCsARHeoypEw
pYcN8+1zr0VzrlKU20So0MVkRYehox3mRrPSEKrzChTreqFdB7tBcB4LPTt8D9wzZrd0kLpD9zO4
LaDoP/WFDh6Mz+DKIqYdFbbgHCC4i9ha7SxJj0RUD+S4TuDG73LLmaEO6iyZwmYu1bPusioX/Ysw
nqRNctIUVLAdCkE0yxGWa6ZOZsBv7edHcqOjbezJc9Vrj6JSgm/P/sRunmYZqgJyzZgregvJJI38
r0ark1I7/YRp989eEX0ujTSe576HFLUXXNc6mSQ5EvrxKdgl00OQcIR3RzKTjeb58aRPzSOzBPJW
j1DrO0bI6K1keAvf7SAbNcYvfNFwhpr5dSa5ZzolfxvOeA3GQD6J9uAO1YVUpe1JZNO4L2sGIAvG
WLXRASjgjmdGxlda5/0Mdd6LKNG+qVr5eeyie8mF/yDz/aMo7s/NDkFGCx57IJGUn6VOXcEVwFQi
woezznPOgU/UUzURyRG1mz6hqMOgwgRFgS+5N17qun4cFkzaSv0ogS2IGFdHumBq2kVkn0OaHWrf
RO4wrCyCgLlF7xSQ5ZhMS6X0ZlCAUh+yjI1EtSZobJrn0kDi6UIG4ITGKdHfETJW5cQy4FhRE+VE
s9DSiFvoOl1ZARFk2MHhYERwLDIeTPMZYmjDaKetXQIL8yIwhVDxDz6850ECSDALnQUBIY47Gtnk
oHJXjCsxRWBQ8ui44FP4C5aIVl/FaQruM9BXve2gOADl603qwwnh6vpSydIe6nlINcDwJpAqd8gf
yulEG9zNMKjLAH3QVWQYN2XtflUhWZpakTa1LOdMr4wYsm2D2kjXyGCvzJVkl/q5VQ+A1umGTFFE
hLi01K/bKMumbm2cyEGHbBfN+6ksGUcl/acjZciOCz1WVkUGNz5NcEgS7irFPZc6b0Ebo18QFh7W
qLKReyblYTVEOUwS/swu4m9+bCzsLOeqc03y3OrZ2ORr7ldHvdXlq0iy7BmZpXLuUwklHqLNBt++
d4QuADSgtnvWFhIimo5J+cwZJzHqpoQEVDPdvL8clApYH3CGo2IY4SZSVXcpFzXc1VWmHw6e68xk
qahWeZEeez5VkMFrtKPK9Ea4PBXpUM/g2siK/NKUnHIxRsORJHt3uZRoF2oIIwDWL1pJge5MfaCP
EgGw13uM0oX5l8IKve9VCk7S5xpfWmG4YSy4Vpk61+py8q//fPKfOJw/+M/m25ZuisHfvPKfuE+a
JXQrnhDnP/2ncoCmjwzxCy0VcsdX/tPhJzhb0k2VX6H7/RNzZR/giDUFIjt4iWwA8H/Hf2ryr8km
z4BYxRSpLWPJ0Be89Z9xXdYyoEH5vA6zO9dJjUMz0qRjFRqqCVl0fmlgzkXhzjnrIyi0MlBCzIzr
R2VmpJRd+gJpBcc4KUtAFdwIIf1uHrZdcx3bfX5ajtI0b2UdLq57pY3kmZp0S5o1Lrro3cpx7QUa
A/IsJ8dphPRd6iDRa3UI96blUg/89KbwPHRf8/zehAsha/LbUkHLVIdiYGJ6xX08ONEsq/QUrFa3
7PO+h80189NL6MEPlVDXLyTNPHbNzpnXnexOk05iuhjSZ8icIfx367XVePduYsOoOgAb8Ya8WNmp
g1RhJl2B4IwvHOA4QFeBocNlQjkVmfOZGyA/4kkAolJ3QNVIh33Z0R6qwIQevziz6wA8jR/dBap2
U2dOPpNCdZNHRo8KondbkhUE3PrGlHxwt8qSqtsDdjiF+8KHAKq/TGU6sTDMJql3HI7OjQJMCtpg
uialKt/kVqhORr6E2s/raey66ZS28HpoKqj4rOqOHjoFZLgeJgWJV6fLF3asKzDJBZeBAw+llMBd
czQMMLoNaf5dLvH0ZnqGPz1uh8xbaWF11Zj0P3pDBuJQJtXUMuNJaCKGZOXxzBrpshWSRIU+dVSA
Xk4dVxEYrDKZB2llnztqPhzGqa1OUJpYKYDegJGWG7VoEf4YLe9SalCBHQPj3lHb6KwY1O9xZgzm
BISFPAP46pwhsMBYcAq7jRvBSQM/QLRISSaOvCg79xkumMqxfQ5Ovp6aJn1xb8gg5wOIXynUDEr1
jCZyCn00yoV1AAROaRg5UAw4NfqWjpHSfDVz/1MUgc0vG9htVB81LZWJhMpjc2N0tSa0lD5ZAc09
N/uWAIdqFE0/0lPpUrHz78hhzSEjPGyK3p6mkVlO5brUVmZcrHIzOeprA2oQ7XxQonMy6x6yczoA
chZ+ljv31kikallHDsx7knVb1h70YYp64uYqMYcNGVtRJOGkkeWrZKiPZJxXEYVXQYDydBN/gYnv
G9q7GVzaChwbVXtml1EzAz9PICOnp4bN5hq6dNTGINdNWcxgoNE8o2V1Airu3ob8b1bVw+dcg4Sm
VZjTrsgcs3qEvQumrMgdZXpq8lkXd9989npuark7Tc2goISU32lpfuoQCZt2tghBjUAS5d7XMpzU
JUUkKe6KaW/hraOwgXorKqaDA69bOhgPtWjfFSpayHZ4UrilOg3yJJrCxgiRUfXVDotjgupbJRo/
KdDA8f4I3gSGsXNOS4F75g3PvLHt4CiK4LsgV0cr+6pytK9D7eTnAEXiadBL/RFCRtIqS7pyloKq
aSMAkcBP/Dy6ss3UYDpFp1Wla261ci1WGUvfWCZoSsD+2MxCDemLJFEvQxkhDhtEELWOapxImRVN
mUpmftCOW0De1jn1dhokHXTvjNZAa+T1l6Eq01U25Ht7VJ6nff8/QDg/v8WtOn4/6pvip4/yuzfZ
O7G//+iXXnLB7Qv9LWFAmVT1jed+fGOP0oR/XCdeI2HYPCA9qNlCFlBFyI+yr3jhoeMMpM/TjyWo
7w5w7I6AhL0Ol7a/+avNr3qIv9upD9wEgaHecRNU0Hcwoj0yYL359NTR4YO2iUaolovXnu6B/Csk
5p8cBIuhQXL0pw8qPuqbreAgICZAPPaoM4wgyD5sxevCjsFX9A9OAh/z521gEMDQ8aVgMR9ffMg3
m0DzBA1NuIqoFT2+9mETuLKbR03S1cN//9cTr7RoqOx4J4A0UQ0Djsq3Ll40g95shaoeEAuAn1L4
Cc96ZTz/2aX/T4zHH63a200QfOg7b4J1YNMJYzjk+VZwzX7dBBXiaUtgZfdwDyhrPl3TJ+zZD6P9
Nz0EWDkoKW1m299+eCyCpapI2T/dlr2wCFsug7a7caSdin/QIb1/sgv43bdbwRS3A7u647DlvPZ1
K0RuvLNdoA5NGm2IC8brV7uAibR4ATTkvOznnXi6rLvcCXroCiERZf/tmyBaCjgSRRGaWXu5Cfru
J0GnN8JMgoW3fHr9cimEs0TdS0eN4uXne7kV8tNB3e08QBGNIIbydP3fR9FiisNmH57nSPbNWRpw
RexsGSwwIjI1QJuw4fH1y3kgYuDAKIat7W0YvfMm6MoBfgK3KGIn8XoXMeiQeugaEcPehgxP8dwu
1wEgESAhg17a0yb8mksIH4GwIJO6T3Hq/l0HeffYER9B5xhaZQ7V22CByJm6sqU947z279MLFpjd
wgRm00QzQNfff3qdlJr2OFH10+HYUwep7rwHmiVYemid2s9RI7HAm4PANYCA1LJVCziceO3pVjxn
eLtZBKpMHHjr2UH+uhVUFxiMZ7tEH2gvowTlKZLbZRMoM1FiMgBQbs8iFOMAGijMJunWPmcRyu4J
lX7AQLqq2fpzXe1dFmEfwHxF4gntwl5vxe65BIRdMtJcwIuejMA7ZylKtI5pElft69XYvQxtHEB2
KfKpp5MvEuhfTaUoR8Fn9nT29s9nGrtnEYSGsK1p8u9KbvgLqi2KjCzbnp4EfffY0Tpg0p3YCHa7
xxcX7M1JILWmS4FtAFa3p55i95NgHnDQKSy+mMd3NoHUmp9RXtjX6/Ac2e/iLp0DEiXsPwXG7SdB
BSdiKAzp7mtrSkBNdo6jdUptQh/+6fWu8kh/TswkU4fZ0+sgSNR32wSNlAG7SBfu+ST8ugm06VSH
cRKhaLSfwePTG9vlNlCCFhPrVGqewgSs31u7qDK4rohy3L7axeda6C6b4BwoIkqyYMx+fP0aJqga
1RULgVFRd9nLk/Bc9tllE6wDwOWOCWPZb06CTN4Jek4Byy1eT4nL/kVMgtZgN8NAtU13HqfInivM
70ot8gFdG6r0ytOz9m8T3tEI//3OPeeBRAkv+bvzoByQOyiI7OxrtU3d3UWQL9Jy+nEn3tVdReys
UpkmnNhXy7B7z948MC0TtKv8DOb51U8SOzPVBnH03varBWHibjYBRBNboBMOsNRbD0ltHolsAMB7
axF3DxMgqSEMAqbzjGDZcgSoNJBEqj+qDfvpJ3cOnTkIqlAFJ0l6dIMCLPf2PMCvTuQsU5/dU5Og
P3mtHYIF6vA04oGwab/D90GFxKQ40977mkQJtfgdTQIlNoNBeArQPw7925NAHCEz5qbsLcjxuey1
w0nQcICmKuj9nkvw764DhRWFBrXu7OtJEIQEO54EeBaFcYSAcXvsTCYJx7gMM8K++gih/bjjJtB2
YuIGqOdze5Zc6e11gFgSBwIP5b4GjILQYsdN0GDIkKF6ey44v684E1aL4SR4NR+ftX+pg7Z778HG
OwDn0kF4P77enQSRYIn/UZvf51RSMHbveB4MggHVxACCYXn+qL9eCpOzAqRrb8/D7tHjY8eaMbkX
R/nuPBAyqaSSznPaun+X4h2N/N/Pp01RaYOdBqH6x9eWShtoWI7J3jpKffd8GvQKc5uANJ4u/vvg
WT7gh8D/7P1GvD7XPHYInASkC81WjMPLaMSv7lJllJXGPQCGPfUUz2HtDpsgkimDwEkUF7abRxCO
usNh2NsQWt/dPFJ+1lSVaannwOmdZaC+IrZpf0NoQVOyo6O0D6DNNMmsf1dkepymYtxaDAzwrP3z
EUIVb7dNIK0GpGOCYfkNwhGsK/hw8kkG6J6jif3cip0DaYH0o1lNZ+rZXW6JGUSRBRT4vqZU7/j2
/knMQG9SfNe/HxyDFJMqvGAX2s+TsHuZRZAO0ofF/P3GR8jUmlQFtda93YTdq46iRamA4aPT8Pja
gl8xQCzYFOX+85PwH9jQH7PHUz+IHx5Hk4NN9Tjp9TRZ93/+wstM7vsFXs0XPk5ZvvnNmyHfPK39
NIAn/vt/1g+oA82Cqi6D+1p99AGvfvriEx6f9Pz3zx/x/cPfPOzlc7384zLYlOvyHiKCxwnI5zd6
tk6Ybf7fmP97WP86HSkqPy//Jp793//19s2+8g1/Xj0P0s3LQq9GL3EuPz/qP108WT9k5ctCrxbH
hO68+ATO921vnJO689rTdbxu+Uqql7VevXfO++7rZ3FTvftKSUGINT5g8bQu139Ns6re9giKYTs/
YraJ/zrLyq37j+3Zef15/NcsKzk8L2u92n8c887rL8pNlW5bnFB458UP402avqzz6o1/xHVdNsm3
LH6o3y8vhh12fuurJN+UwTp+Wernuxe48d2XT4ctm658xI093pRb9lzgJXZ+18dB6m0xBMpH3NWT
dbTFhgnU4c5v+2RdVZtte/IRF/Qkq/7639TbxJttO/MRV/R0/YABftmHVwfxI67o6boMtm3NR1xR
sXaebbPuYhZn56/1dJM+ZPfBNuslkGkfsH55v3l4WejnvgvE1+6LZ7z3l3Verf0R1/QUxZwtS3/E
LWXpelNuhi3Lf8RNPVvnWw666GTvvOFnm3b9PnY0YLv/gMXPyzUm4GWhV1/nR1zRi3h9v9kSO4q+
xc7bchE3ybbgTnQld178KiB0rIKHLTsjGn47r3+9vi9JCdJ6y3EXzbQPeED612QDofa2B3zEVb1e
iweU6bp82GrIBNb6Qz7FLNh42z7ER9xa8SEW3ID7oLrf9oyPuL7iGUfZumi2eStBCPIhu3TSBNVf
59+CKt/2OT7iMovPcbquN9vW/4j7zPr1+q/Juvy23hYzCJaIj9gpnjFFtWKLsRaNxI96wu/VoR+L
Azsk+9f+emtOKABau797ahhbt+ZDLvOfpUl33pgsXm+LHkQXaPeN+ZOU387vvF5D9hyvm+rlnf70
w2KMbfd3L8osW/yw6EPtvPjNxl9vUzkUrY3dFyfGD+otQZvxEZf1j/o1u36rNw0FomRbXU4U3nfe
mU+s0Gy7q2L6c+fV/yBVsOu+fPk9i/Ofl95Wlv3R03tfrH0hcdv2Z29r0eI37uPNuvyf/wcAAP//
</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_xlchart.v5.16</cx:f>
        <cx:nf>_xlchart.v5.15</cx:nf>
      </cx:numDim>
    </cx:data>
  </cx:chartData>
  <cx:chart>
    <cx:title pos="t" align="ctr" overlay="0"/>
    <cx:plotArea>
      <cx:plotAreaRegion>
        <cx:series layoutId="regionMap" uniqueId="{D51B2C53-B7F3-442B-8314-C6939A439EAC}">
          <cx:tx>
            <cx:txData>
              <cx:f>_xlchart.v5.15</cx:f>
              <cx:v>Amount</cx:v>
            </cx:txData>
          </cx:tx>
          <cx:dataId val="0"/>
          <cx:layoutPr>
            <cx:geography cultureLanguage="en-US" cultureRegion="IN" attribution="Powered by Bing">
              <cx:geoCache provider="{E9337A44-BEBE-4D9F-B70C-5C5E7DAFC167}">
                <cx:binary>3H1rb9u4tvZfKfr5VYYXSaQ29mxgKNmOc0+TttP5IriJK1F3idT115/lJO2JZWe2AoyB99htUSTy
opb0kOvOxX8/dP96SNar6kOXJpn610P3+8dQ6+Jfv/2mHsJ1ulInqXyocpX/0CcPefpb/uOHfFj/
9litWpkFvxGEzd8ewlWl193H//wbRgvW+UX+sNIyz27rddV/Wqs60epvru299GH1mMrMk0pX8kHj
3z+6q0T+yKtMrj5uXyO/f/wjWaXrx9UHN68z3X/8sM601P19X6x//7g1Dvn44bfx7XZY+5AA97p+
BGLKTjgyOeE2dZ4+7OOHJM+Cl8sGJuSEMGIyG0Z+vusVsPIujp74WT0+Vmul4Mme/t8dYOsx4G38
8d/fwsPmbWwACACL3z9+zqReP3640yu9Vh8/SJU/va6qd/PNo36+e3o3v21D+J9/j34Bb2v0m1co
j1/tf7u0DeR/Afkc5ps6AMT2CSUMMDStZ4idEcTYObHhGiYYwH+N8WSG9iO8TT4B322CI0PXzWGu
blaw0odYx/wEYe44lLJnkPkIZFjHmJrcYhiuvAb5vXztx3rvKBMg30t3dMgntToE5s4JQQ6hNrbQ
0wdE9Fh2I8Sp7ZjWGPOpHL2F9hb9JJy3KI4M4btwdZBVbaITi5k25ZS9iTDlGHFO7G2Ep3O0H+ER
/QSERxTHhvAq++DJdZAfQD+TE4YtZjlkLLMxO8EAPub0RXOPMH4PT2/AvDPEFKR3iI4M7D+SQmbr
AyDNT2yHWiCvzf1KGiwxBh8LFv021NM52o/ziH4CyCOKI0MYfK1Vs65WhzC3+Ql2bILB5H5DZqMT
m2/0tjmS2e9iaj/Ou0NMgHqX6MjQ/iNdPebVQdYzBc8YEQ7LddvyQrCQCXEocp4mAR4t58kM7Yd5
9EATMB5RHBnA9+twlR7Awgb7CzPbRhbB+13nTXSEmti0MdmH83S+9uM8op+A84jiyHC+zB/zh39+
HZv4xHSQAyEQ+xlmEMzj5WyZBLQ2ptsLeTJD+/HdJp8A7zbBkaEraq0PYXU5JxaGVYresroIPrEs
WMIQANtGdzJD+9HdJp+A7jbBkaF7kasPf2TBOlkfwugyT0BIE8p/xjh3XCl+QkwK2ho/W2UjpN/J
3H689w0yAfV9ZEeGvbdOPlzlkEI5iOxmlgnG1ib6ufnsJDBMiJKZFBIYowzGu5jaj/juEBPw3iU6
MrQv19UD5GHcA+SqKLIdm9svUI8XOUEnJscOrHFznzU2na/9aI/oJ0A9ojgynGfJBy+vwLU6ANT8
hBHHtshLVtIZ56wAakh0YEho2Pugfhdr+9HeHWIC4LtER4b5fZ2sqgOIcQpJSoo2XtSzw4xAQW+Z
4BAaIw7nHFsjE3w6R/txHtFPAHlEcWQIzyFNnx1iSdsnjGLbsvAbvvQm+Mkt+INH2arpHO1HeEQ/
AeERxZEhvMz6w+DLEbEIYi/B7bHIxpvAqGPbsIi33ayp/OxHd4t6ArZb3z8yZBfJOssOoI3BgybI
ws4my7gllTdVBQ7HjFoj43oyJ/tB3SafgOo2wZHBelqn3/PkUf/zyEKAk3Ebm+YusibkHjFFUBr2
7Fdtr9n3sLQf4p0RJqC8Q3NkQN+tHiqorsv0IeQzh1oCSD+akHt6+uw4ypso6OYPhMo2n1GI5H28
7cd8zxgTUN9DdWS4L9NiXclV8s8vcArFBVBYYJkUP4GKwHrekuDYOrHAKLMgz7EP9fdwth/znREm
IL5Dc2R4n6+rQ6hp64Sypzj3M5T7fKhNkSCGctBtaT6Vn/0Ib1FPQHfr+0eG7MUqPoR37JxACBNC
15BQfvrsqfRzsIVtzkY1BVP52Y/sFvUEZLe+f2TI3iQ1bBY4gIR2ThxqMwh1vfjFO3oZnTgmh+wk
HfnF0znaj+6IfgK+I4ojQ/hipdT6AHIZjGwTSr6481wjgHZ0MAQzbbhscnskl6dztB/hEf0EhEcU
R4bw5eoRir4OsIbtEyj5AieYvVRij6OXgDCywfQ2MURFXlffT+doP8Ij+gkIjyiODuFKHmAJwzYp
h5lQpIteEhI7qSdyYlEMC9gZBbcuVxMZegvf1+ST4H1NcIToFvlB9lIwSB2asH75i5Aer2CITju2
yTgBI+zpM17HlZzK2dtIb40wEewtmiPD+1v9/RDS2jnBoJAhnvlWhS4UBIElzWHnxTbKU/nZj/AW
9QR0t75/ZMje5Vl+iIpNyk9M6tgOg3X69BnHOyBiDbstbBNW+za20znaj+6IfgK+I4ojQ/gSED6A
pQV1XLA94lcJyE65zyZPTDiHpT22tCbysx/draeZgO3W948N2XUGZbjyIPBuRDOoV8ZewpVjNUwo
VHMxm9IN8FuG9HuYegPjnSGmAL1DdGRoX1crqNo8wEqmEJmGAh5uv7UZCloTWLCBwh5nIqZztB/n
Ef0EkEcUR4YwyCq9rtb9ATC2T2xmM0bRW9oYn9igjG06bi/xHp72o7wzwgScd2iODOmbZPWwPsxG
KNC4m9X8Ur21Y3XhE6gLgRwUeXaeRrp5Ol/7sR7RT0B6RHFkOF+tikP4TWB7gWFtwj6JN21rqBaA
jRZ8VA0ylZ/96G5RT8B26/tHhuydVLHs8/qfl9WwCQrq8wC6n52AxvVb4DnZsHnZgkDmtun1Hp72
I7wzwgSUd2iODOmrdbM6SMcncJBswjhFL7HqfbIaQ8sQ0xnlEqdztB/lEf0EjEcUR4bwJwlb0JV8
PIxx7XBkUfpSCbBbCsCgVoAhaPk0UsXvYmo/zrtDTIB6l+jI0P6WJ4eJh4B9DVVbCJLDW4U9sKsR
LjAMVXzb4noqI/vB3aKegOvW948M0jtohCLW0HXuEMDa4P2SzcbVN7q2Ab4mIgiKN0di+n1c7Ud5
zxgTsN5DdYSIX0J7wUMA/pSBYgzKPJ59pJ06EOg1QDiEx8zRgt689slMvY339hAT4d4mOkK0BZTq
rarHw0Q7ocYa+rNBf6eXsq6xKQYNoAiIdnCtt0X480J7D2Nvw77nASdiv4fyCCfAHOKfD1I95D8h
+Ge6rjKOEIOtML/iIdvKm5yY0HnW4nQP8r84muIEvg387jATcd8lPELYz/JVWR+qlAQKSUwCAO/P
UGJY9NCt1XGeHbQ90v4dzL2N/3iQieiPyY4P+01/VtjleogIGnhd0IMCqnjf2sGOTzZ7XMH5HtV6
gsR/D1tvor4zyDTUd8iOD/UPF7VUH66/S1UcwrqzTgiE1iCuAnJ/89lJbEINKDjr0IRmj8R/J2tv
or/3GafNgL2kxzcLYKKLVfX9MKvf3Cj1TY3g2zugbYdDPzFo2fv0+WlyPLdcf5YB72DvzXmw5ymn
zYI9hMc2BzZNqA6RIoPKBkoI9IV8AX+nghRSoeDvg94f+/OTOXoD7236KUBvUxwbws+qtKqHKfbz
O49TgEJwBv0A0c9OcjsokxNoFwk6YAfld3H1BtK7Y0xBe5fq2BCX6+og5hzsi7cRhS3Szztm923s
gIsg8vl+U34yX2/gvU0/BettimPDOU9WB6lK2xQdQnHDppBlv/EGq9p0AOSdWOxkjt5AeJt+CsLb
FMeGsF5lUiWr+hAb8RjswkLQysJ+a5MlFLGgTRdBNtrjASfOvIOrN5DeHWMK2rtUR4b4PWxngaOO
/nlVvWl9ARuhIRTzYmzvibdv0mpgjI8iMO9gaT/W4wEmAD0mOTaU6xy21x6k5z7s3OIQRAe7+g3Z
jU5Ag2PMyais5f4dPL2B83iEKUCPaY4M6S9QtF0fxBiDPp9galH01glITx3koATRRiPx/Q6W9uM8
HmACzGOS/wMo/z2LW8+8Oejsj5/Biz35kvcfUgfNt20b4ib71zBAa2PY8gPbuvYFTuCAg18n6z3v
GdjH035sX9NuPePzI/79SznMEXRvH0/366Q/b6VXs6czAl+dUPf3V58eH842HJG+bLLY88J+1Xgu
H3//CBWhdLM59hWym4G2tmj8ylP/nBnbhGs4Q+n3j08nDiIIgdu2zSBYatowZrv+dQla8WNiQQgd
duNu/K0M2gqHT+cYMuhVBRuDNg1BoYsgUKm8frmEEYPWkqDKocM7uOa/znG8yZM+yLNfL+bl5w9Z
nd7kMtPq94+wS6x4/taGWwvB3iPop8Oh0R1UTzHI0cH1h9WnzdF98Bb+n6rbukztvr1G+U0VmLM+
Yt6rl7LnDsDpqztsPEVoBwFllpADgB6o0Ddg+w52y2Jas7q+VmZ0JtkXA1071q0yT7F/0zZXCs/+
/n7QCv2/3HHD0atnIh2v5ICT+joqakPwPtCO6FVOUpEHubptq5yfNdoqruzY8oWy53bUl7PS73xr
plPNZlGQ2X91kNVa2jRsRF8WpodVTgXl4YWVJ18yTmK3qNBjY8Q/nM74MxsAAUxMwXIzElEAhzhm
fWIJSkI+qxIjFWkgg1MztheqT+Qc9oTReVDIfOH3XebKTkaCVTUV2YAq4RN5Z7TcLWr5iTfNuWPR
XDDZXBilDyhFUqQ+L0TZas/sqejt9tb3k1b4Bj3Nc3zThFTAEZnLDNVSxFFwnjtY1NT4XBk4EE32
VzPQm46Fpw0b1AxrtZDaXJgFPwul1YnQztu5UVRq4Yf9ZV6z4Y5p5FSisnqV3eVlaJ/aZeFGOCtP
Szs09O1QmPCLOq26/DoJzAuNMLvK0sE6NZUevLSm5fcY8Qvbbi8NM70omFx2cXtZOf6VgeKrfrC/
4sSxRWkYjoBjAecVkQ+mhR4TI7dmrWVedoV55hPqNXFxof12Vtf9sqfyBg2lm/mlJ7v+ou27i5pX
uaeHFLmB1Z6rBn0tazIzzTwQaTZ8tpIuEH7ax1eyzm6yWC9q3l7FQ3yG8piJrrCRiHXVirLjmVBN
jITZJzMVsc+l7isRGSiYk7Sol3Xd6kXiE3XLZdlfJH1uzRUn50n66BjttRnyT6qusMBhokUYVnNc
pGd+Im/qzLhrm2weGgBL3iUzLh3BUv3IwnoQ2I5uSdDOnDqtRdhhD9oYembU3+o6D4UqGtduzUVb
NXNk+p62uUgx8vI8vxsy8yb1y9JtO9UIncTNp64PP9k+XlZt7fGC/2nGmdsxq7ovkEHdSFY/MtrA
bHIWtM3EMPiJMJHp4rhZozY4z2rbK00cuSDBliSNbJdSObONVmA/uAllc2la0WlppYsOWbOEZW7d
+edK5aeV1Qg1aM9SxhXoOI+0xhIExW3PAy18iZSgpj8vHfrFrJRLYIW4ZZy1IrOS/jRurWRZJdm8
kEEtaG+cxWq4V0Ubij7RV7LK76IGeVHUwLT2I8etOVk5dbSKGL/MyyQSXdTGbquqXviqTV3Lb/jp
k5h5UUYvcu1Zkj7kRV/JIHw5FPfXj/+5z1P4+3S+6v/+cnOm7v/+tFjnm2yHGn9pc59f34LbvNx3
o2S2ftjRem/otedTe9+4+LbSe626LCjUeiVqd/Tda9Ph2ex4UiFPVD+VHYYSoM2pBQja01vPauuX
soN00aZGG4ISHEyfTdXXi7IzIdyEN3tg0cbegc73oCJ+KrtNHwoYEMpLOJwaCM2+3qPs8EabbWk7
B062gbZSNkS+KJQsQFb6tWbQA82Lsq67q6ylzqxp/bAQOY1Y7MasbW5tw+rPoq7J4hlCsf6mc7P5
HJuqK4VysvLrq7e3RzFujqMdcwPFUHCwFvR3hzOLN375a27MrC9iJ6ybK1Jm+CqIh8wXNcvt0O0a
nTuiac36G2sKQ4oq5bp0y6iKQXgNipkubGDKHh2t0TWMEdYeSRL8ebAMjhe9bflr3Bu4m/89x2Rb
s4IOh54RoMzBZHDAXIHeEiOOJQsB215f0c4KAs/uhuRzA5FEOtcMxJ9o+g5HnmQ+FwOzeyn6GNFF
2lQ99qom149hpxR2pVFYnoITqUFKpSFqQPVZcTAL8ii8iWvnLFVOqDzYg+d8UWF5Hiet1c2kMuxL
WYVNuvj7p9qFAbZyIWgrCGcqwPmETw/9ylxgvRG0RpGoq0z7zpc84JgIMyYwNYqs7m7arnLuCh8n
f/79bTdz7fVchLb+cHgto3ByGhiahG7YenVbC3WBWaggu8r4gK9wHNZXmapcyf3wy9/faWNhje/k
QG0t2J+QsWd8NM+KzOyHsgrzK14gc1W2eZUsfM17IuIinKGyTgaXop7nbkStNv1vk2YzKbZvDxMF
DEwTToiDFqzj20MUWoZBlsorVsbWKo1qaxUnGx6sIVUzu8pz0SOAftEmZUtEGedsrRNHLVunNy86
m1bIpW2Ux27EsvQzrQqwAkLe9+vCaAoPGUPKXMvJzerUovZQi79/e5t23WP+2UZsQBYbDg6H4vRt
oJBdW5ll+cYlrv10JSutAoGNWGcmqKY+C87aUMbfA+4UF91QhnM7NzvpEtywH5oNQ+72YcBcM4+a
tawoe2ysImRnf8+kae2ATE0Kk2gT/IOaWjAft7m0Ky5RFWp6GYEl5jvc0044LDrdUWeum7p2q65E
t03aW2BVhCFzK5wtFKmKRWIWxI2TMv1UJFbaCZa0wdc2SvNlr7QWhVUWn20Vc88vM9+t8wjsT6lp
BPZmpLKrtjDUdWkMdBYE2ImEMfhZ6pImTE8tWyefSBTcBH1GO5HUrLzSfnmvSWpQz24IvEjZE5AN
Zj0MArU8ukhCi3/zUW2ehTbHF0PQNY7botBMXZh0cmnwqk9F2/PBw61leEPUPRSq1Hc1MlgoWrDf
574q66XpE3JfhriNFz4zsBRDGPvfoZapaoTMSuOvOmWpVxSKLOM8K5a4dJJH2RQ2rHuaxnfS8Tsm
mtIMziq/qt0e3sMCm8S5Ltu0m5ltVc4x7nAzS+CU6sBt2oCXbkNCf5YqWnl14VyHvhEgD+Ncn4Kq
Ia2bocgWXLPkzy5F4TmpnOLOotpa1E5kkLmy02HF7byaKdRFw7yJeTA3ug6tiEraHyooCssdiEa1
yALSBPNORzksjrad9UFT83mV+6GXaJqeZvBVAeIcjGG7SRsmIhVFhsv8loGTYnWDMHXiu1QbWbqo
7HgWmHWPbluKTU+qCiUigpmk51S3jlp0lHUXdjwMiX9bt6VOU9HLpM+qx9APCRm+qdboWBoKpwJR
nj+QPo00reCEqLou0JWOdRp3Z44sh0Xj1NpfppWUhYhIkt8hZtBl1FNauzVg4IO/hZwO4Eo59zLf
B30Itmxbzuy4DZBbJRr712GJbJafxj1rQ6/vEkdf2EpTmFGtn2PVujXowrlthJF/3cDSsQO3BAMY
JhyNVTrPElk5IilBefmzrpG2a/gQrrFE76PMhEPP/TR1Q6du/XmbsCSdKR+sgrmVBeng8sECiZmR
2KzdNKyMRDSqD9SNkkaazvJA8h9G3TCJPJQTvZAmr/mVZfiBf5ZRppkVuVmnyqE/VbA5sQpnRRCy
dOarZijnTqUyOe8TO+1PkVJp4VoEPEaXdVafLCpZSsMFWMlXo0gH7MGWqTj14B8yrpMIGQpeeZZ9
jdLUSZe0cnQyi0NtfxpqDU5VZOQEn4dtqFgmWEhCvfCrpsjuQBnTsygYSDyvwfHLZrlOgmHGcTc4
Lo/6or1MeQ9T24ClUnk+xvVZRS0r8QKfBrXHsgbglEyBfZINER3WSQx9bTwODKQe7dOwXGIkzdNA
sth2SRyX1JO59L2h9mNLGG1VODeR30amS2UZDSItosE4R35igt/kBxaw67BihvtwyJehxG0wix0z
bMXmewI70gHnowxo6XatNAahO2n8VcHRAb0hJKwjcoWHTA5S8MY06H2ftKS+sgunz73MKfWlVWeg
kgLFYiBwUgpvy5chzr5BJCELz8o+Tbq5aq1BnmMd6HszItbK6vzUFxzD5J3XWcfoTNmDBOZrHKVe
QstYubz1ZxLL8lvStmBZREHU3CnLbr8XVUjBA28Df8ZjCxGRcR/GsZI86uZZ1eCroSuoeau0he+x
NuAbrW0o7mrcs27WgD8mT6uOkHaZsUCRa2kw50uGys3kjKJSLViiQnXT9abmLipbwCZsM2AsVyB0
z0GDOV8oRzC7U5CSlQdnEXX5UivHJzdRVcfxJ8Izx1x2ZtTWl7rTG+Mz7LsbKzbsbpa3Kdw6z4eh
ER1J9bBAMds8/Ib1FuQT8FWk+Mq0MniKGrxEX4RxHg+uEzewdIokiOVtVjFY8lUNVkEA10CmEp2F
1yU2+yoTtAgRwN1WXX2ZGmGhhER12c076NBAZ31Tko3QgMXkwhOBAOkcvLGTdZZ+gViBc8YbKbng
oRXDvOgDe9VmFNjoqqj/RHWH1HkAZm50nhdZHN1x0BYLlSF8VTpB+Q32K9mlCM1QkrOcB0597od5
0Hh9xcoWDNyeLgoCr9VFrOwf4iS2brpaofy0RH0Tf23tNFCnqW+kP/rB2cgQWSahB34ApzNJ+lDN
Czt1vhrIT+dpWwSlYCaIub5qw08y1+rcSePI8ixSkQDEHhwbJpqQOF+qyGiCWUIyWCaD4VNnaWY5
LtcpCOT+DI43gLXRbiT2LLIMeKNdMzQzUDJteY6rmtiu7yS6AU1LGwSmdxn9VTmNc2/0YKafDY6u
8KNWWa8gsIBZs5QtgaG6FIeDa7aBHSwLgKV1jdix50PeNPqy61kCLrkqBWfq1Ey7xjodWhvAiRFW
w6JI4jy/zOzOvDA0MvNZWGZpcx70bRG63FJpeA+WiHpETgZiBEQnxC/iULVKOG3DS9ACfXmXBCWW
f+J8oLwRA1hg/edCU8OBwZRfzUJmxMGZ4Rft9zBARuMmTNnxUjoI33bK8IdFVZdKzuRQwySVREcQ
A4uTwbpK7SJJRFk0yL40cWh2bg/WjZq1YQGotTyTgagGloLsUCqZ4Y52ldckhFeLgZcw+2OzC5jX
+z1Srl8ou/zaWj2+j8IK5hpoOucLzPVU3WROhkHAksKJ5jwN7VZ09TfC65ZjEccN+2yRrGy91gq0
eWn6CW8+lb5yKlDuMKNnhaSAJjgOEOWSVMf5BauKkN6QDiX20u9yB56r64zgMq6MovVS5YPMAGus
1pdJ4gP/lRMHcxXyOPTaDqFlX5qw7nsIXUth+iG7fLJK/+kYyaV8qHKV/9DjIMnrGMl//j+PpOxJ
HyD43W+vQzJb6QNQxHr9Ov7ynHPYEP2MpsCeSGgOtamhRZtaSxsqKX9FUyBmAvkhBnupGAWnFdyB
n9EUOOQXegGCIwBFeVCcu0k4/IymbA6dglCdA7EZCi2pHPM90RTINow8I2vjwdoQm4HCA8hIb/h7
7cI2RafAIgrptepM5A5ds2x7s/RwRKmo7HKeU1KLSvdfGRmopwLzoaL8Qjt97FkboRd1vrnQVXiu
2xyJDGWXRgThbz4UtQchzKuuspVnOlXu5nn9vXeyb6EMZqCJP8VmtMh6fUYo+VQWBYTcy74WTkGU
qDC5yFKwKQKDfVaxk7uJk2oQR/7nIY++WmBrCVBanWt36bUV0Gvc2jOnzM9YUi5ja6DLofErt44J
d5uwW0BcZkZ48cMswk91G1hnWeAvIGD4ncteOGr40qk0FzFJCUT741jYZpp5tPBd1OW1y4rwS4vr
v+KuMd0wDk9JnWeiUKwSaQgGsm40hP8LehWn5VkSm1S0VfWjbEIsOiPX7pDwa5lWhdsG5XVkNcVZ
l2qQIdIPPJbmMYjJKnAdFPhXys6RBzbrAFF0c/jBSRNfNSZ7GCS83MJPw1sCEkqEqlqHGjmXUZ4s
LccACUGKfhFmil8r2aUzxlpArQ5NUQU6cOO0a8FqyULRRNheyAbi53YFAt7sWHCLAooXQxEFogxk
AhF2GgjwR3IhUxrMUJ9Ep5RCiNuQkiyicBNpGMBvtjvQayjPQT362MNdj8ANVXJuosKfmy1NZlWq
yULnNJ1lNLqATMP5oKPrOMNL3QeDJ1P+wx/AmYpYas4MJanX1300wz7rF3EdJDMUhRxeBO5noOKc
hY7sQERdVS8cAtolDSoIHYBd9ilrGV/UhRXOINkenSLk+17TJFQoSo3bBLZAiHSAJy072xbSRvac
B4Z2o77los+DYmaAtQfiO5ZnllLtIiDhfU/UTV2jbBYavBe5LuA8HAW2S2iDh1E65lnhKCoCvImQ
DZtXJEn2V6us6HMGpq1QoZOd9jWEA0kX5CLxM3xt8RDMt2LwQcQzeMeVUZ/yFuR22JoQ3Ge1fIxT
yQSKmD9rgtQ4RTqa11Yy8/3MAb8Y/NrUySqIu9NUcDOqhRG13KuKNHHtJrJvB9zdRl39yW7TeKZI
hKWbkOQKnGN9CvbTD50N3zVuwrkucC0SJ6kuJehCl3a2l1SlvYQ0on9hG6xZcD8zPxGj/iKdXBse
0pAWWISkw1jIuniA8P6MDUYM1mSUCMXDcmHI/h4bLZ53YWC7qHHOspTYs7btsXCaepnUqhcFhFPA
FwxmMsuMM8NEp5LSz42KtKuC8D4tozMWZTctU65hsEtl/eUzcl7ndvNnHyfr1tYXnWkYIqsgSsnb
ur2owRE6dRwdCVnJWAQxuiBwt7AIz5vG/FGC3+DiIblELcKicdiXgUPYR0YDF1qlj4pBLAhcxWUO
+RkIlF/UloQ4RdhQL0t5voglBtu4CS2v6/NONJIxCOWmy0yRwmWKWvO+BwhxmV7XRnCXdP5fKK+/
FSaIB46KxmNxdS5bvOpi256pmEKYQeXBHNd4gSWFWJlZzZpIEcEGnIpENZeKt19rSMd6zDBvnI5x
kacsW3LLgm9qFIk6Thq30Pl5HaFTMDEyt4FMTITy8lo6uhcRuJHC6BxPd3C0nm/HwmqkB16+/S32
69Sa5Vl3mRH9kJtsmdXWn2BZWEuZYhFVw3eIh4DXn3en8NDJPCQQqUjx4CU2uwojkDJObghStW7s
GLlocnxqlPZp35ZeRCAFasj2FpLZFwlR1PVl8l1z55Rl9AoHxcIwy0UA3j5g6nYJhp+tVcildJWs
fyjJbiB8qGdN3i91aoazmiWuYca34KEZoAtqN6H9eaiT29QxPCzD+wRCzqGdnbI6ybw6lfeJ1C6Y
x5XIfMVE2g+nPkSgZOJypDrIABCXErT266wXoMeMfgHZPsVvZBonbmBnn5CsqtlBLKj/g7YR2BJv
20Z/pHAMa7XHOAKqX8YR9KCH7l3Egj7XcCIQlEH8r3EEdhNYJPam+zWF8opfthG004VGqghO5tzU
QYLxAmbTT9sIiqIx7GOFKPmz3cTeZRs9pUJeR72hsALKe8BA2lhpcGDRyDbKC2uIrd5X1yih93Gu
7oiyzlNT3cYdmCttY4ZnAQKxjM3TqO8jL41jf+43duvqrvYFKgtwB3uQ7BDA+IRMEHxhwbBoTW1D
YhXfalRCmsKBsTKWh7MkKvDSCSoiijC5q1gWiSHLucB5d2mUKAfNHIERMTSGa3SW70EYKpolDTHA
PmvLK5Sl99D50LpkzZBdRIRokdukFIGvghlJ2MJUTgChk7x17RAU0VBl92HGqQeJ20KgSi3Lwpr7
XAcgpSDKwcx0DbHwLxBHNERCrNOcGnfGEGPhl+py2IQMBiv4DnnCSJRW3btV3s6yahnhCxzQxyZc
VdTVTgDlDGDotE0NeYGhhhoJkONelnSxRwZVzIo+WrVDXohOV4+1bs+wLlrhIHigqvGXquI3vcEK
0WczY7ioNT7rTP6XFdnLHEWmcHqQkw6zLqqggmXcdcJsoK4i7/B1bFeJCFD9P+yd6Y7cRratX+W8
AA8YweD083DIsTIra67SH6IklYJzkIyJ5NOflXLbLdndNnzv/XOBNmDAglzFTA4Re6/1rc2cRC4u
iRfKRHEu9+HE3ATq4D0senYXO+WXmfZ3so8gDrRem1akJBs6CprI0JCNF0w6Hwqh8raZ6qxoLEkm
cBC0KveLrljiT2VWR/393Mg6cVdN8tGDnRHJZUmCGDpzAHEh56MyD1y5WBRJ/MIdUSeiGrajWx9k
Ez6yeH0nDu+3wBoS5aq8NmWcCVo2kLKnMhnYsLOuoWmgxgPeyyNx/cZt7HV12hSkdy8DU/1DVIw4
8CSToRG3K5u+VMKKPTXOBTf4eywqkUyoAw9lQ16n0Zwm1JqZg0oiq6z3MVv9YcJl2Ug1A02RUbGD
ZPm5wyOKcpuWaVMFzaay+sGnXB67yD2Yun4b1vi4jmRNfVFuhXVuxmUZEulG7kbxgiSiKWwySXlW
9YrHxzyWvPg8lmG06z2IxLXTPRSrV0KA0i+jF+6bUfFd5IsDps61iViCbhPJfh9w/2kq3RLcTx8A
iVkf8DvtzWh8A81IiFzxYEq/64NmgtBL4uvFm70ldYMiyEjBXqSop9SsWidS9v1BUj2ns4MNvVyq
EVtvi2J9luKVuwXf9eA9LnXgo/DyxmzuF7KJdPcc0bVOuCohydQo86iocIGGPi/aWkMeaio87Yru
ZQXSQ9RBmU1U7901cvdjVO5DUrTbAJ8lGQNvSbAsqiSCrID6Z03E2O+YGne1E2S1WBXke1VDY3MI
njSmUsiHc7KwMsxiLjPFCARg/Ac20UvN40RI80Tm+uhP+iC85Ryz6cGERier7LalUzRJ3xVr0jfk
bGb9VAm/T9qlvHRM3zXcPkfNfJLd+ioLqFQN7OukE/UzLJ4Dm93dIuWjikDWjLp3E9T9XhK3800j
xzx0J7HplkiiLJhPxeTdNSCn8tmSPKTDgWrdA97S35hffKo4uYWPdobtdxnrcEwjIz8XBZAl3ayv
bYmamo1RlEPj/CS7EJ3NUpSJosOjKNlxdgaRmxZ3DXzepXn2dO3vKhb03hZZGJqXAg6FX4lf+Lf/
1yLI/39bOIPF+O+38IcS/OP7H7fw60/9toWT/8ZboqB3AhbBVJif9A0Pb5iJwhj7O9gIpM5+28Mx
2JGAMPExaRk5tesO/9sejgwEKgH4tLDVQVpGof939nAMZ/69vsEYYAds4YEPhQPUw8/6BhLwrje0
Y3tx27BOfKZlQph9NmHAt2p0biFOT9iMq1PT4uGalmg3LmgI4efLzMzRh9DVCS/CegR11aY9GaNs
8WKsbhyPa+TtolZvAgW7cCY7C5eg69ASWQd+iUfepK/SoALx5M1lDgLlvQzr06L0R1iXuY29XDm8
ThYynMaZfQF0s+VLXCWehE/uVJ3e1cO0m+L4KGueC+pvVlrnznU3IL65Cah4AvFytrSEszmxaluu
9L2d3A2mfLwCyfA3YVFAox+7ZTuRFhIDGtCEBfLgz8psomI4KursYq+Gv1Q/FEYN6ex5NocodNcT
xtHWDRtI4O6uw4c7eiGl6RrZNXN6LD1OF97GXvsV++CwXajfJBVvvMRZisepFd/aQc+Z21u0arI+
QV4VWcVpk/dmaK91kA87TCyoBqK8cZZD6as+47Z9Uv7kHLoR5Xwk7sqpHOGpxAdiHJ6EvjrF/dUR
1luq5jsgl06uV2dJls5uscZ+Iw6EDge7+Vz2XYLZwG91Te4XOTjJWIgw1a3XpUvgPa5d9db0Y2bb
zkuqCNSgV1U3YJuO9eh+k3INdvU6s4xWeslLCd2BFN4d4N6Xssbn5wt6qpWLNQ0GttMBypcBDglc
Y/0h6mbvyDazfEpYJSEPKIJ2GK1e5c4S7mTcJ6IvX4ulu58nKNUiGsDteXrLedgkY48GTi2xn1lo
Neh4VJyRrmHbTuhbIaIXnxS47lInDQHU5HbDG9HVjaqrG6jUMNc5iVK49lXGaL9C3VpoCqsem4ka
toUnzn0Z34yVH+5bR/YJl9XZrcXbWI/VZmybLtHVlM2sB6KID2rN2iSkNbuRuBdKZTqALtk1pDhO
XO9lPzxpx2yF7E+lEBsWzDG2s0qmXJo4Z4GdkqAt3Sxyzes6Vh8SBYxTz1tbDUtW92Ob9IG4Bbfy
4i/hRaD5Q1dpHqKm3Sj3MK5nZU6FAy/Vjfd87m+J31+oKXatv946Oogzs5gthVmeaA29T5QrikpU
fUENN8DpqiKFfVwkI6hU0eOX9p0/pFFAu9QycJGda76VDSrRufPCnF7hRFjLn+c6yKyIvoWQUvbC
Geu00HG8Jb2/L8noZ2vBuimhIFcTmGvz1nFmnvuzV6QiLO0mdgBTgXBJ+FyqgyiaetMZ9lX7im10
2XwVnnlFJfxlDW2dC9l2CffsZdEo7usqMOmiApVjOTJeCkeTTkfKW3XE2oMOOxpCiEcj+oa+U3u/
B8+58fQQ+E/GbaJoW7KJbDVbBjxLINKSOZwneMCazySPeofNyWioF+0YDM8BLTC80DPogUU/xG5H
1IONJ8c76lmLo/X7tnydVkbNbaOGneCKpEONjV2whm2qyodg6KJqnfi9LDyTKuABjPV6MznTvI2c
4OiHc5Wh+WOJboMvoxASXC78uK5mr/Afo7Q0pk6IuwYHT+Bmbvqoga6F8nzxxaehYO9lPdFMRXWX
wDf5Bh7GpF4JLZT1wIxc1zTofSaYPShdlkFmcwVbphmcE+unO6fQqFHFJ1PZbytQWTsvdSLJ7CZ8
8NtUevOhXPa+a7sEtvR71Yj7oEKpquhVSES6I1HKPri0PsPAuXHq5a0t6bcVCiOWf/9bYzo4tVXm
rAe6zHXGoM4UfLpvZiw9bukm85zN7bGFJeM2LZqUWbxbvu5Lz5tQdc5BOlZrn+BmPAdhs2aoNKG2
Os4dBnbQzIY+FFJYpqu7AB6fixRnYYCQMoJoFq7aesxgbWdDFsZVmK/TgmepcB5Vk6Ere6GTBDbP
6iIrnQZCWRNbHHyCvt7EO2+NCQrdNso8W/HURiC+u3mweSjszRApmkSR4dA2w9vK9ifdhl06D8Ut
nL1EdnLHtXoPYrvkkKcfltYZ87WDWlvE2ED8Wj8VWstM2/4F80cPtdPgM+r1FWBIucFTx3APrCKB
W+6gZVQfMo6fsEBv3KG9abpSJZR7O68WT6OpoCmGc2o4imfrXdDY3ce++Fxho0vwatIzc9WR+Xju
TM+KbbGSKfXdac8dgy1BWZ5QHzRT2TT72F+ixPA+rSM6bqVf2bRi8rap9AWVyAZa2LPpyG5oxjJl
Gv3OotmcN25ncry/dszipgi3DsffhqYGjtOYbe84ZBsgHLBXOKGpLNtbd0AHGIXqoHuotGMQH0I5
P7W9cPNFYBPEkrVxqpVvoZIe2z4O0sVCCJ7wpB05oZeAqDJxJGQD1bvdfqWQsA3U9WTxxgLonLdn
rLqUukYCAxKi0wNvxyKHBc63u7WjeCT86EInswIE8MCUiPlLL/iL54+3soeNwLwvc+Bu4G++ioa/
QvoOMuVV+6IbXl0R7Ty0DBb8uwfMyKMLbPH2SjjZd961Wx3Sj7hZD1xXEJrDMYmV+9Cz6yLu+Bus
9WX6H+XMBbQMvu/Pyu7/aUGbf/1D3f3Lj/1Qd6M6DjCtL8B7ozyUyf+UzigGKQO4dj1omT9rZ0ie
YioAxiyz60QQDHf5re7G6wQx4svDO8YCOJIspvTv1N2ACH5fd18tygDDQUOATHhJMFS/H33FaOZj
rKMSAZ5KDYeojdlp6udj1LcjdrXpOei6bKxVs+tF2K4fpZCjc6ehmCzjWqWAltq7uERdpBqkJjg7
CDh0qE9QTpF1AW3cEGdbtYYl8PQ2vDHlHkgb8iLYNBJAB7xMYzP2my4cWv2Aiv4tLheRONDHkhBc
EdpqKtnBzFi9/aGfyyJdoqU66LbJFlo4O+VM33jcrwCd3WK7EAHkkjQxTAxunoc4io4UYsgp8noQ
hdXDoL0SXUO34OEiUZWZyYF8b+I+Ex5807ataEID6G8TSswmnFQ+cpL6iqqNPw/nyC9NYjwRb0y7
zolTKIBKZW93k5VnImWcqn58myy/WYjNS3fJqKQnl/GjXbFkKKSkkgqARVJHUWq11HmPKwzpz1Gw
zhT/VlgRfFrW2iCw4Y9lAtISEFwpyS6e9H3ZeA9R7fZ6P3yPAlXXVBBYybS/5oTG75GhAH7jlJS6
CE3ihTB9PWKxefsFdsJC2/31FQFb3TfYf7r+stTyHLDhgBLiPLr0GClnI6Q9OF2QiRUAA7Yxt4Zk
VA1fbU/vKxW//WfxwOJxbaX/bPH45+CHf9G34yd/Wz+uGXPkAJiPtytARseK9BuXgDHO+CvK0If7
eDEdWuZfI40R9Hq8FxpcAnq94Ptf/aq9h0iNoNWO//GuOwgBv2ITl1809T+LNOLlWb9fP5AWwWSL
76MHESq5BqR/XD+cyPGaaW7FrUartZ5qOvj1GWtaTXOluvYSVqNRadf6Z38YL7qMvjBe2nyi3aMh
LaQr0t2MdHpDpOvQyv6+6qpMOVQkXl2c4KSdhhlddh/C7PUMzybZ3JSufVnr/iOuYBUJQ0GgNoG4
8/m6IR0igeXaIqpUQrdmSDS1qj4pZBNnSBzZ5JmefKYOUktgiNuN5SYie0z2mKoDbQLFt1ivGPBo
EwdI/g0eXO/CgTKRBGbYh1XYbccwPgRttLJHr1AwFIvO1jqLY16ym6mu5FttCzTFxuvoxmiDZ0fp
+hjKPqhBR/gS1dsEljqW0VTvmh4mQD5O3B3zzr+uO62dP+sAdK9t+5dw8HWqSruNTDxthyp4h74N
Q8GOsI+j1qKlEKeqcMeUSsVgR1T5uBbgDqBZiMI8Ubd4dqZ1r0Ln3qA47I3ds6XPjAN31vq3sQmW
JBoCEG8U3Xf1PjjiCHTcgY+uTzrsIVw6wy4qoetPMbk32tkD38+RATxHfPhGQVV0jt2RSh2gP+x4
Md5gMT53dD5rMX12F3kfl+2O1sET+sWs9MNdQfhtUBqZjO3w0A5rEvZV1g7u1vryflKodWe7rwP2
0oVB4sZQwyN5aEFFplHn0byOv/VE5KwNzp7VOdo/hCnXlAh5Kip5iRElmuSKQjbKBofkfVieV9Hd
IsKQxP6K2AfbyZm+rFacDK0TACRnXEv0S+gHy/JcF+IsPejk8Iu1Uofar7eIKX6iPjCySp0GT33m
Iqrz66XnIfSmCRmbjmyjYL4hRqpEx+5ZU4DSY32eAno3LvA0VufJL719W1+vsBbZ0HR7SUBLgpiM
i/EjZhK1cfsCwelJuOW9Kp1NMfg3eC/0huoOnb9Bs7yQG8vmzwYfIgXeloHQuCnMeoCsliKPcMND
grJ1Ptq53GMfBiG4TB9TSO9NPN9PSxMnBTf+HTKJ2yqw5Tko2GnxaXc7tW69h7WKDaeiwiPgAnG+
/Hm8dQP/xhLcUhpwamukk46BHbJBxl8XPp/ductY592EFb+bRxVk84A9tW3DzBvHT6pecPt5Acj/
YjuPZtk4XvEJff/JxnMJLE8/NtDiPMeDjs2UzKkANEyafki8joWpU6JlHIzT57Qkp4KxezZVE5zm
DirJjCtuaoDMg7OVDOkC1Pu7oWxgusmw3owzOalab5uCXwMrCDxgs8Xdgat11fJjLS8jANu0Z/JI
vXVKy0UiTlrdsqK58UZnSyCwdcF4HiitEjt2XwbW4WKsDvKV0mZ1seBkqeDOb6O9AOCYTaJGpriB
fF+sM0yAWqfCpXFKSx/MVDXcdFULMUg5aUfFq0JQKlloZ1KnW8+aeKe5qb4G3ghnPqK7Yuj9ZK5K
WI61uQ96+qzi4OD4MFwc3W5Anw6QquzJj8mSGIYVoHPaIY0Ro8roWOgEys24qfVyI0Zik8CrbsGB
P5lAB2lZzo888HG/I6nRg68xUXNbAPVPy7FrgLvUT7Hp+jSuyjhhvmNvVuG1x9IPmv80Dr+QhQTy
9r/X63e6A4T0Vf1x57/+3G87v4cQJ2bEBdekEd4Qju39t50f+U7Y6tj20aXgPSwo6n8lElETwIv3
r9NMMCT8uyH/j50fij2GxCJWdf2tv8w5+Bs7PzqQn5JaCFF6mER8fakAKlT47z/v+0oDJEG2xV60
e+A1EK17Ibc/nJR/FBv/9eO8BPfafPzT2Me3oBiagEYI1T5FAsmH/fBjcUGweNR1I4eLZ+MaOWbm
S1B/pUd77wI/YDTZKIK5uVtFFUTna9TqdeIhbe4i11/S0u1meqDBkEqw9mMJkrdoczwK+VrhqdGr
ly5LeymwG7fCQQIrBiEjHpQ78GQpSb6O4f1cyR3q9S4pOwQFKkUyn40HEL+3TtR8bpfm3QHDpodh
D5bndYHVmK5VecuxmEW03YclOG0yT98mHYLMrmzWjizcViOYfKcjbQJSfDeaoUl1WD/BaR09iYa+
f+WBuwehXSdYjA/j3H+0yGkmxYxNfuk+igGUQdQNIAfcGeSdnDZon25Qj9gs6icQoZbCjw7dz7Ps
Dx6Dz0FYj4KLI9ZPn6a5bBNaqZemWyQWPvtFBuywsKnfjPVw6svZZvEYeplfFX5aiOkBk7YmgAbw
1vninTreT6mS3l1rY56uRr86tbdZLdB1zL4A8UbVN1iGgHmwmyThKC69YMfQTizH7IIqaZux3gUI
ZSaAynk617rPq4EOCcFKhEZxfSFIxHm4nInQzr1vHcgntH20HRydOGrenHFiCbXDHhGE+twqi6XL
aQ7SqQBIkJElJOI3XH2BOrWJseJVnaUpm0eZxqiqihV8aDFG6Pk4OUyRnjJlwu0a+l+GCr6EXaaj
DtmXCKx8FtXVt6gLTcoZYnCjih/5GHxj0KVc6OQVBJ2UyHpXUsAFZI5SwbsLStLPpK6Rn2LKgVLd
79sKySFm1KaKELHSXm1SDGuwOXPcOPV7fdGx82S4BkzXKiiP5ZQTVj7wWY2ZCLnG1AUvbxmYJ8Mh
IgpcvziqHyjUXLTU4N5i89JAnk2qJfhW1/EnnzQCuCL14Kw3BRrVsjn1XTulmGgxpFhXnjgw/575
AxgD75a3YZiVAhEfMs+fTN3i7rGjziOL8xGG61sTFI+BgaJqUHgzYLwbM7lPDW+fZNVT8LPXXpqr
Uxc635QTvYHFZEnQQIbziIQrXwCYB4cYCLQF3tLsB4q7P7dsGovdgLMRQ+ocH31u1wQYHO7yuG2e
GoR59/4615fAs4/jSHfOOnx0YAyqZmiTVgxfEUEZFeZ18FyrqNo0Vh31VNUvjCmAcAXU4+C5j/N5
u5RLfdPB/6kc537SdYxgY92OoO06xPaMjY4OfK4MIUGRytb3kxX3L/eG7Sy8E5N+l4aTs3WAOw54
NhOoCGcpwtcy8j9gF40JlrUxYSvZdNiGTbkcIfy8O7M+WlUdOl+/cY3WBGvO/dSTHATRvSDe3hLn
HlhiFjj8Gf3Hm4z8TBD3GFt+JUEuCHOdVqk2q26QJFm+aoMEHNzJrJGqyUHbpQ0shlBOKIgiH2aG
OYehyKexaSHErxlmjNhExKBE6shBJ+PcLmp67qq4yTFM40MCj6Dj/OLID1/jTjRBuPEYMN+06OG4
oTS1FaRYvThO7polfA65mbfjONG05jNN/WhQw7nxvNdOMOcBkdw8ND2Cg219LSIbwYYl6cB5b9Ui
pjRqUTRHXvfcjHIDFurV2vYZetKb24FFcLW/XrDhjZupHd9HSvbl5H2di+gW8b1z3Mb8CnpWid8g
i4euMkKJhfEu3dqhCkdi7sS78qHi/HNNJye1jW6P07qE+dApsDy9u6RMlW89xVW05WNViTqLPeeg
jXzVSLo8oJPtNoUDdhjqsgRAir0H8SmsAdppg0zqAV6WipzHoPaWbFlim/MJbAaecvlSxFJnTIXd
Dk9zlI0txsUExuwMUXZbUGD1XieWre3dMjXtEINMaSo87JW/s21MdrIxiHqpe8lKVNhkWxtmEuEU
AIM84GUBeRx88TqR+YH7U7CPmX4VMdBvxtfi/Ofb7s+K4PdNF2/iBIURAAUIAQv8vOkGrR7gxo/6
IiKbB+S2jh4DfGofeGnNXv78WD9XEddjgQtEUJ1cNYmYhNchCD8E8zG9ZFbXcvoSFXnRPI8LBrU8
/98d4voRfjgEgu5ta3VrLwMeTBBqSWk+seHh/+AgSIMjChegxrrqtT8eRMK6mOve2os3PY7iZnbA
zez//BB/vCw4VT8c4neQIybSRJyw2V5Y9NCNm7VTOaqQPnyvl7840lWy+bnq+vlI10/ywxlrS+N3
gcKXGReMyOnRMNCD7k7W5KY7rN2a/PkXu37w3x8OIxMgakMIB9rwOwVJ8XpeJ0UsmOJXopCJDx55
eVy61++H+Q8b5OKE/vteI/to/+uMQWcff2w2rj/4Q7Pho5FwAQj94lT81Gxg/BYinVAM8QIxhiL9
12YDwSjXxVP8/T2C7vfpYL82G8CNImiQ8Bbw5tcQfNzfkRl/XiauUirxkbOCkQKHArby70wKVeha
tmtPUUfOO7epbkLepJ5Z8h/OzL9oOLCM/fFexBB2N8a4N8wJwSyBn299TBBowN409uKj2d0rBFZZ
7q/60EGWTATlDdLTIZB2JW7jRd+MzfAU0gn+LkjM1CKHnzcTaY5m8uMMLgGGaSyqShwfHUVhp1cr
hyHtohL6/DW1VMr2YcABUzq0F+FWPcxSWLfRSMcsQu409RC4QSImOo7dnKIDAjaJiGcW+wGSPk2/
KQKzweQdlWmUT5lsZtT87MWJwhM2CMz2It5ryVqRmtl/wESLe6ebz47jn1XlGigiSAFg/sweidSz
LTqedzF5KnjUJi43JqNlBf/BqDsEWzfAMF7iaPqgPPzEu+VtWiEvNVAIMwyKuPhTcQwQ2txAlN4F
cTFtZTnhCk3Tkwj4rooYT9uyPCIl97m3ZbMxnTtkgVkQexHzkDn6Gr1hot8QtX4iHVSRldW3LJo2
0XW0mzN42Rg0n3RInibJT2LGvC5Blvtw1Fs/pjsecAf5LkwbsAy0ByKcSIBR/8FZAAF1aozSMP4U
qy53vTnTI2AlqRkQBjDJEfpvXL9624T6WwQRNIHmdXKM9vcgtftrh5mScDlTKJDzIlliIZtsGtJe
kDCuN+CwtmvHTpwXPFGEbWODc1vaBgZx4JtsGONPPRJcoCDvRb8umbfK5yoAhcuRNk081T5Iq/fE
bwzUafeLi7GDCbfLcwtwA7Mg1ls6A6OVZW0QjJ2+kpZ+pbbFFBGQbKKN9+DsSdpYu0UO767D6JA5
FMFN6K0gg9r+y1oPr2Uoy7QLxGNgwBiwMWx2VntbhM9S6hUbxGyQe8UtBrSX2TInczm+97Xg02aN
HLWAUpon0B8QqDCgj04csWNAK5kb2g2J7DVTM82HtvXBlS4kda8z0Jj31YIFqnyyMauYgMM2g3lu
fO+a/LEgSRK/8v1Mz6TKmpruPeBZBCE65SJ0GI3vRVDdk8b5QKUC1CqWdwJ3I7Je5nHmUoEjtpmw
Ddk7nY/UmjU3EVi27Fq8+RXmrhlpqqsFaN+COpT5zIcTr9wilcO8A3uNoLm8GeomM0oCB1SvmKMC
SyCuU1O7yOOLUxPgkfX65gKg/tg6zn5tEdIreVnm67wgTmkg1llMR6ktVL9Zk3tMfkCvoD6aldt0
huHQB8OrnXLA/nvQPhgB4OyWIHyfa/fT6sOyD1vEvpf2U8sejJXIoOnDgMF5rYPBd+iv6ca9RgwZ
5tlh3ov12M6gm5tIibzfOpitF9Zq4xLoIdywTz0jGMMgbFY4E3A2O2w16W8XYd8gSyINt7Bnpdzo
NDiYNPKI+Tgpj9hU7DCpEX3YXyyjP7Oc16oO2wULXKxDQErJ77UhKSUGzi3BcrFLGiZsWxzmB3Ha
1ypx3vuXIW/2KMiT4giOSmf11vuL+uWPBQUOD8TV8xFJvb51/OdFfCq0b5xArxcTwi/Zxy7k3vmT
I7q/Xbjge7q/DAgFV+n+rk6KFfasCoH/C6luMGwraduPmO/h6v7FcX7e/X45nTif2AMJZreh7fv5
+4wjgw1ESvcS+McpuB0woLL8q0Kc/atr9uOX+d1BdOm6kjbXk7aRz0gQ5Gbnfo0wyDARJ4jCPLmf
cpg9G7p7OkdZm5zNqdo8y7zI7+qDTXZTNt2oDP9jJjb4N3/+i3vqj+UvRQAJ5LIHKTQGkvzzSWgx
tIj0i0suCBufizs3d0/khR8w58dJdbYkhzeyndPzuLE730+7IwjBO6QwNzZp/yNa/yMOj3vi3xeS
/9MOVf/xL6pI/NSvVSSGKePthB7eRgaE+wq1/FBFfo+Q+fgHcG6M5/O3KhJBsRgjXjwXcjZsZBja
/4Rdov/20IaiakA59kvt+Tcka/KHwV0IqVGUpN5VS2YYQHct/37obPgEkrP2ovbWIeMbrxQmi+j2
M1n8fUu6PqmDNZUIEYU+wEATblaP38TLeLZRd63funHfVZCCNQcQF2q64b67cYX3YCtD8yhEBN3w
5cZVBfScq9JE1HMVIX3akvam9KEnGWfatY187wJon5qwr5g+C0HJ6TgGqM7HOTJfG02QtWhAjqBb
yoPF+AlZ+jV3IUJkU+fPGYZYqDTUsU7Z4gapEv2y6cVyoQs2VCCooEJ9WEtcvXoYSZZhushX4QYH
rJhDBiV5wH4hG4SyvcQvMcGtD+MLqscXU6wIbUfYn8sSQ0fbUOGPQV2lKx9o0nW8SMJi73G1WUIB
kg3zPSDBzs9ryU8q7I8DMPUS3wlBoAoLBaX3tsIGy3mXNz09FYQ+FpgoCnBGd4hbYRSqkgYjzxon
Shjzdp2HarCIhpcIYHkauAvXcO7MWPEHRevhE4bqPC8rs0cVSayBGKTbEovJWeP0aeaYnNI3226w
QcK0D1nEAiLSXkGTsohOJafP3ojEiq6g2wcsyBusdBn1V56vMSxYPsVQhYS+95zyq98WYosBPinB
WJ6jCN7V/I7ZRRs2BO9y8cRWT0jQa4T1psF24jkmZf/Quu3QfFR8/Qrz9X71EAz7X/bOZDlyI+2y
r9IvABlGB7CNeWKQwZncwEgmiXlyzHj6Pk79qcpSS7+Zei0rM22yyGQyAPdvuPdct6tK9poy8rw3
TNDngN5qryMY3DHzKK9NGfjXdh40h8kPlraPFGhwxa6ViF9RpcbLyPans5XMzMziEt086LOnoRhW
bsxQ0BrLT3Ao5g59oV9DgPCi/+nL/22YdaZMf3/Ogbbrmre/OOf4qp/nHLAQ16eygWsKUtG2uIz+
WM2Zv2FB1RmcYUT9luf97JYtn6UduFZCOplyUC7wVT9FORyBnEqoASHk/K7y+QfnHCxxzrH/jFQc
lmYuale1GeRH8Dj1/vucG4cgRLYd2NfpXLnTnrF7br1Dqm6Da5BEVp4D/9BMKmHl2+6iu8kOUfui
A1sVZqdjoUD8wuAsXXd+a68Yfus7fVDy5BFJdNeXb8Y0h0sM+G9z3Yyr3AIhKhvB/jyECBUkN0kN
hycMGFHldEy9BwvIm2YYAj6UEY64AFxe2isDTr+OZJutIsHgvmAuarjxU2+IS2wVW5HlclmOq6Kf
WZlxWvd6DjE6KS/U2I+lKPcNk/lFnNGimXh0lj50IugC85ufyIsQtc4m1hT438wbU2+zq86eyw0A
sGJlBrQLcVN/WUH41iWcqLnmrtvpcxhNZwV/cN1rVrjK8uJqNO2nqgjxEnlDtbMbiIvSGqplWhkU
GSXH1+z5cmn049Ga42Rtyvmz84JNV/ZHwx+2hotGsCq3jdWsJbsGaA9o8DkulrK3Plus7oggMIDo
C8gtpwIr/OwMLrdMwJjAZTuPXd5Tvvksq3Y5RvqxTO4zjPVtW1wAox8jDPcQh+BWOfml5yPtlCdf
H2NZbFvN8DaeqA6Gk78XaJ+XEGNPyJtOUOSKpQ3vQhy4yuUFvX0VvCYyC811Y5VhcdHmdqq2OWUX
7txUf0aWiJCCHvLDdCzgEYC7Y7P78JtoA41e6dP547gbPiGBNMukwWOS9+OunaKzXQTeWkPYv6nb
6GvQMP4n3vRCC3HfzuPF6I1XWKNgweeXGFHHUjiNtXZD+0dsjodBD6fXLKoxLrUVdE+rwIwIWdLR
sWA68gJia+dKTzt1bn0/xfyzWIbipw6962BsEKlGM5ZGms2oBbCQCn/diknfze6XkZQ2wDg05S20
sLyyzVUGvS4NfWvraDEwSrCeleFw8fboTsroI0zreZl107zxBuUDmcKtqTUv8VDuSl6bJUrvEdkN
PmC3mXG6ct0aTJLGwQ6WntRupkB7llhmRGUZcBiSByeIQth/povTGZ8pMFFYV7vMTV0cxOWhQDDG
7hnee+050OLTryZqr6vcfusbACAZHtd0Ss64546V4ueL0j+yunEXpsVuMMEgKtUYJ2n7YVuPILLa
yDIWpk8aWuq9zOyKkObt9SZ8sVKrups1wdwi8gCIms6Dq0V3I7Z13R+e68iO91Xk7+exPjIkqo5B
2TwLWCOAd+80IdhaetcanXqki8/Kns95LndpybM5i2leVQbKFCikt30PqwNwG+r0rUwif52O+Jd4
e8Rr0zf7yEy628DrEdcU2QYezlG0Tfp7h/rv1aYq7v/lanvL3vpP+db8xe3GF/5xu1GqqzAUFOaW
zn8Ygv5xu+m/kS0O0OE7DeNPklNWRQhOBcW9Uqz+UsW7v3GCMFalJ1A0cubO/+B2A0n+59vN45r0
of+gkUfi+uchbRGS05D1Hn40PQt3XDPbKOQU5lBmbd9Py6Ezm9PYmeXW0lk9+mN3UyQ2NKQif5e2
Wa4ardlhqHbWvkV4RDgIi81WVC/hMM3Y3AdzFbHnQ7ggsFAOY35Th/5T5CAS66VlLUd9PoKPPEnH
3nklBkBHi7b1VD0FXlgu59q7wuVD/Vem/a7L2kOYJ8xKbecwezEeMtu9Eqb9EDpowdvYu/ikdqwK
GV9aXb6xJuF0c0JcLk6FiCsK4ZeiPkj7+UoU7tMYgLk0WLj6WfkkRvIqUkSBbnavOflVywW1hGj4
UEgUe5oBmTYYju5s3xZFsjFC7cWMx2VYh5tWhz/QyOpUueUz8RVnK8oRzjrjllExXidhv7WZ1yyK
MeM8cNt1LGbcrGOWrSw5CsyR9bT2vKJb9z0eniBBQ8jNCSmXVIwIwRyIgvOQ4WkP58HYstncJKKG
vNCTb5AaxVIz5xsrEB9mW92n3bQZPJg6VljcjLbYTFG+j6FcLgK3uRGd+xDVQYh0ZHoWyqcZDw5O
JcNOl1kRlxsrnhrqFnfbyvkix8LdkAJxGI3sM1JDamxSDyKSKCQzE5th6V8nvWues8DdjV54V5/t
aC/AXehIAMTEypeoqE3s9jQRNQTDdkbrabX9VnbecyQwmHY1goesjLe0jMUizcuP1BXlKmkp3M3a
2GQefEI1xmynXYwiiN4peZfS+kTk9Al8LdyFtX1mYr0f+xqlkd7na9x69qPlpGBsJ4+FfhAvy6JG
NyD2mWMATI020gthJcDSXU8jq3czFNPW+24xCqdr10OvXeJq+OHP6aDcVTgndMATc203GCnqg63V
5pJJ0s4XCnhgBigLPddb2ba3MxXPgiHtG5TX+1hHDtEwKVcuDR5dniP/CSukhToQMgZ3e72O/RDT
ldvhAoFkCLUJlgYVDWolJ7v1kWkLMyDBBfAG3ikkqo2xyBWTIwvZkLhuhrAEBcTGUuwOwZu+0RTP
QwcXeZzM4hKA+rBCmB8t8A9PUUBG2L37impvEbGYXGozCAcb6ESoz3hteVMSRRRBlHETgBiJckan
laKOCPAjGQEzLTiSprzEto2QGVKJ5+XBfhTleVRZLj00E98sf9hNBk4Dzklu59XaTZt0pY1auqoU
DmVwUFrYtROuolnbQqtI5lcccD96eUqSfQNTJS7rieqXx6DPg7dJgVfMqb4KFIqlgMlCqsquMCIN
60z0qIXpZ9rxypgYv9YVRJfGZ76gEC8+qxolor2HAf7lKw5MOPLcWQoNUxbh2kZnwUoE7kQf1sVJ
M0fnygAqo8V5fR57mLqeIs64/hysRkWh6YKgXIYSzVg09Fe9TD2IKQy8Mz++iyRPs2OHzOwz3O52
wCcOaRde/TRfyqAS+HioGJq8n5cVeByrlh0wN16saK4RFvVQdDCTBJt+apNVWbf2TlkqFXMnBUxN
E15fcts6ZmB59EC/DxT1wTD7Q6A4EGhURryKpZTJdTUa8jn9VsiLb7V8g26++11B/62mj5WwvlYS
e+9bbf99Ff5bE+jMk/+XmgCk3Hem3l8SJNTX/lEWGOSDEDDP3Y9cA8nnL2WB+RtGNda8/8Fg/s+K
mOGeAbISFCaTN935r6bX/c01cHD4GFT+P5peBe/8U9PrI3ilHCAWg/+psuXX4Z6fu7PPpq2/zvoY
MvxS1qV+yEbDPhTAKJGoivxhSkJO11E7eQXvWOLk9KCYyKNCo+ttE5ZL7TH1xrteH09TADCpioS/
ABoL/Teegaq3j0M+nd3c2jux4JUMykWt5lHjSEmP0nBkSBjPnCk5qyjacCT3Ls5zyoYvizie5fBt
qIrTaQlh1lzLVKtpH/GbJ4lHN4bGhnbqZRKwVJrMntZQ4vKVLqt7W0DDsTsN0RWjKauadTypLfqf
ul/KInhCRLRqTQHdqWnQbQ7voksXSVDnK/b+HxBcYtRd8bOoWVQIV+wttIpdDcQQTPmzCO2t52Kj
CAZrE9GnwLbId6bonVWP27QZMQFOdi+he4/vUxm85+1IihlrVG72l1j342Vup1tEMHvQiWxxx4F9
QA92DpfIj1C3gfIZxXNVooSnS7FWQdd+isCcz006vcWVExwZJpCTgBmBJZtY45g1bk3InSsbyv4y
VjzmkoZyOwzp0XDqniOAWgz6nWw3aps1227M4eWWSOMt9GdA99dexEkU+niYO7NoribdG1cpjdzG
A+i0CjJtWrZAXRd4iiKgmSQBTHocrAu9iY/cgtnW84f2znT6+RGYV7QqdejZaZPpV6COmA4PafpS
SrA7oAbFM3dmfttIo76JhBnvPUOOp9oPOMkn3NXQrSUUSNtOTsFQVAruPp46OWfmgvis4H30Ys2D
RqzV+8LULykpYusoGqoHfeIXvw08U7xquEe+bEgmLOoxDQ7t1K1hCSynHHpYo6yFvTIZNhJsOq7D
lq5rxIVY40ZscCXqyp6o1d1ZKsNioKyLrt7D81F2RlcZG20cjrayOtYkeiXf5kdckKQChItUGSML
ZZEUyiw526mBUBHRp6uslOW3q5IkNfd3myWGy1JZL4GD9o8+2QJ7wdRtESmLpuZh1mxwbY7Kvgl6
fjUqQ+e/h/m3qVAtM//+ML//jN7yv5hdqq/65RhnbEkfIVSXhtznl2NcgYDY3bBiZIGD0OaPHQ3e
AQyIbGcw+v3uRvjP7NJnFspWUv+OV/oehv6D7o7D58/HOGxjx1B/F2GJ4ruP/PUYLzKcDRk/xnXv
R2mzgm9Mq6TvEoUh7eCRGi2tnKPIAQH00FFBS0uFLzXgmLZMd5YVSJ9NmEz3nlbW2y7J8b0b8HJL
QZ0NETX8ZqPO35xUIRCYryzoqQ0usFsKlmErpAhOkT2JfTKizK1Na1m5vbxyTOyETmhCFHON9zZo
vnSOsV01FGf5TXAVJYMKUBC3E3RX8APiUivga5iCftWzAtCvJwCHKjBs2KFkn3zmnTk/lTemmyTs
tJ2hgLKJQst6MGaNwhy7VdMHMZiBpN+JBolJqLC0rUU8QKpQtYGZlMgPwNe2CmTrGpmxqPjr5zgr
FpIpMX8L65jZ8lWDrAAJ1nCVucF1UkaHsTDZN1DKtYVJv2fVRxEGLHxblk59kNyWTqOclcde0wEU
CytBSF9P21n5hmQnwZXAWZCRCNa6pz1Uc3PnS4kHS/f2Tj3fyCFF7iL8J6t2P0pZnmtKCIzV0YGy
4MZpg/uwpwoduCv61P+SFeuRzr9i4tWsTBKolkaBV6LKyudkyA6iiF/GpG2Wk699jaGHjL71N1jL
X53C/6wKl9QL4gOWSdF6aC/4tQAWxkiGZuMUxwxUEfXGr1TbN96UPKY6PgW2N8iOCgKvNI76dY4+
BwZb8yR6SkwB8IdhwToN445tWhwxVawfS8tPN7mOJmn0RLhq9PG+VPDebwpM3LP2KWbGu4IoRRwD
3U2lsDEIZZK1hCRjV+1zD1kGA4W9CSzjR6WgM5HCzxTsqgIFpAmxhG6EgtQwWyd4g8d12+k6sqRv
mk2swDaVbe01hboJPbiCllfyIsDBmShlbLg4lgLkoN1210ZCD9OJ5os7BwmzPiFj9/RqSQRDtoln
dyGigDxE2FVATnhHANuTsKLwPAFrSEsBewbIPWEPwoep4LUF08eE7RPB+BGpt9dg/nTmnvIgGK58
vmdjt3eVwgMJOEFpLp5cP4ckDXtisJJpFcAUSg00QooxVLTProIOoQGWIPgqf924DNJLv/Vxyheb
Mq2uTLPbNlr+0EAxSuvw1OZVvjPgG8UmG094R3Y3pAtXIZDkOF7nmYkdUs9eInBJjoBLIPTB3Se1
ezL9/Mz8eJspxhLMR3NZpunMqAMCUxjBYgLIFO878EwmmCYDXFOmuE0evsEFIMAH23WeOtlcm4rx
RLaGvxoV98mJKG6kYkGRPIU8sGu3IaZS9hvzuNRARw0ieJoVS6quUIbM4KVmxZkC1DGiU8tWyJD2
wSw/a8WlMmfVgSJo0xWzKsJSvfD5tS57gFa01Jd2UMxvxbqCRGyv0l6KXQoIC/Hk0QaMFSvPzKhY
WRnQLB141gxEKwBhtZSKq1W3MEJTUFsOyC2DsQ1Io+JiKhqXAZZL+N0Wr+oE3ApBNuzuiwThFYDy
6qPmSv9me1XegWS4mro2v2SowEY31g4RQLBYkcH0lkIYVFgfZtCx2KUsE/TXS1EMKf4VDBazjqNB
0cacgM2OJrMvFOz3dcU6ejIwLTE0wHMRJT9k5VyHJfwyXZHMbMU0KxTdbAi1edcCPHMVkmWu58uk
WGhaD9Qm9cO7EX9Xp3Bp7KN9P+/Z28oDy7qIW4BpWq0oa9YgYBQLQkRJJ33OQbEh9XxjlRVvR0Vp
84b+LLr8gdrvxIycLzWpLnt7A5QT6rF3jCu5S5oA1D0PEahX9mUOWLjJNT5mMHFOyJk9YsIWtNS1
IT+hfhHqUr/NAKhcRZprJtb3oOdKXEhBiuuJnR0KeH3nAqnTWbLbareLTI6Tu8LfAgPIUWQ70j/u
iaq9mm3nM205KGNLKNKiu+PlhrYIIA/jqlyMjX8tfQg2JhC9jOd24WX4T/Bg4T9gpM+LdpFOz8LA
ncsty/Y37k65LuOIKhUCB0JJS1x7nubheXHMrWzkc5wad7gbsmU5+w+G274kKcwu9tvjomH7hmSg
gjk7GuDvvHcr8Gh7fAmWtXyXSV0ybip/NAHefJ8F2KqILNzYKnMlgAvAnXc12PwZISXH1of73bJw
sbCjr/28+4ElCGOXW/+wouIae1OzDMBkLts+uDIqQV8UTtHGL3GY45iyGUd2mXrLavQEzjlydd4y
xC0gr0tK1XA3QdZYu5yT2KLYQRZ3UzlH21hLXlO3+mD5Brsqz7dBkG6pI/gMgv7OcCpjWfe1e5g1
d1+1gHk5xBlBUhpBop0nCGZGc+3P9iqc8q9UT0sM68P16JLz2mjhSbfAlftt9eVpzHAwPb4MJQZ1
rc5RNBXiLY0wHVWh9qzXXXCRXnHFaU4+0JXdR9soth2NvRMQI71N/fpcZlkZiYWM9RCZBm4YFCKG
X0enf+vo7zpaifX+vo5eZ/9nVUq42H+xKOELf5bSyJ1UNQweAg7HnyYikDORq6FbMgGQfVfZPyci
PkU28ZA+Q34dybxab/xHBoB20qb6gXTMjP2fLUrsb9fJf8kAPL4PKkydk0SRhNQi5Re5Ux0Go6MZ
PVxsu3wcFBi3h5CrIbVauEkjb4gPBJ+LMPjZoTIBO5lRCrpYZLycy6vR+uIwh2R9kJYqkfXaT0xE
3ZVkc7usDJP33CYeI1dBXwjAcYTaXUm0t98v6wbgbwL5l4A0piSjFzEdcR98nHsoaIuNUOw/F3Iw
SopwJ2EJt/H4FAwsH/ukupNlBJFZi/2doYcfBSTi0dKPZD+cYSPQsCpYsS4TYzM5uMwqSMbZEG8n
hTbmaDoyTH8JWvPQiqohgK2707mNNtg2KRkHvHtidN4Fk5dd22KMk4S9cXaMn6IUn4BJkxWREJTd
UJf90XouzLI4VB2kEiJz38w+ukQK1cyP+eEXlDYO6QFWr1gFoiwfRxbCa2SWFDmIiBwUQxD+N2EJ
CT9g8Ds7+afIjPWo1EVlVm1t9EauHCgS0nDHGIWA6d6h6Bvw7iWxJtadNl7DKoRJiYYpRsvUK1ET
2rYS7JvHoaokTwnapwy0hyXa11yJomolj+qYS81KMOXp06MHQcO7GRtmAVU7zrQhyH/9U6RVX3MX
OdB7+4Tg7Y48Pi50jIzZuM1j1lV1nPj7qp6ii5WaD7D8wSgTGrgzQZTOcERfZt1dVFgF/e6+E1l4
RpVQHWYcfYRFaekO29p6SPRbgzE9gmqPtQP7mkWqx49qj0MsRectLI3ZsRW6rM1FNa6ckixMTStv
wgRmmmi4xYR+T7AkzUICfLzDBJKJg90V/IqZj1FVPlVO/MO18lOgJfCTYTAS7tLm4Eu6NztvmNbb
1otmZq9YCVDUhe528u2S8V6yM3W2QG4JlLCbN5ppUanN3mYqoE0mLgD09CQCl0BSooGhiNzlc/Gl
ZyUlTueJhXAmEh5SMvN6LfkwhPbswH+dovE2A8gx9do9y8HXFmkwhgh/UXfasR7lWbeCh7FIjtNA
d1oH5mOYo2qIZHAfjO4RbgYmRDO0N1aFRj/1/HNh2i+BOzzgPpsXWZglkAmxDxB8+N7Y/u0gk3NY
yY0ZABjx3P56MOxba+LfkgfxRTbGHkbZkq76EAJt78RwrDTnPZzaR2XNCAuH9BrnOornnSXzRaXH
LCyb6dnpPG+bhFq+SGN0KhxzqAdrjSGlitgIxp6hYiyfZZMfLL+/Si1zH+nzY1cQB9OTlrasrWFf
SUdFtJYE42jZLekx72R++js3zehLhbdV6WBr8iC8ddCWMEAi0opwC+9mmz1iUuUJkXsAbxuw3iZ1
qjpxOaVgwKR2f1N2uC1MiGKbrp8uoT6ht0AWovMr4Ey6WJO4Sjr/wxFodSpXPJjCvrJsSKFWx+Cg
nyrGeuqIk7Q8fajfmX6xyVywG2bV5IuGqCLfcLJdzvrLyFrWmXkrloLnrZvDO0O3390cZU5oelf4
sAPIsJq2wat0a4AUIqYnNQjLc99NkhjXBqMNqL7VerLITMxj01YamA1owy/ZzsFdUs802NK4L+K+
QB3qxh9VpJ0FqW/QRzkj4vhpiHrKumiXO97XjNx/3bLhJapGJzqopkCJG0dDQ9XM+VNOJlN4NZsh
dbjoIeYYztHx5L2vON1SEbvJy30FuOKzWe0tAG7zcwAoZuH2zbtotXo5d/LGjrNzBArcAgk+ggY3
FCPcKuQhm016UzvDd+1cQIJf4WBnsqwI4wmocQ/kuA6+gTkBFHJnYB/Ndu/eAlAOr+hA7uJjosjl
Kepffpr52YcM2tTTY+4Ml2pIbnge+CWAP8/BoM8Ok9w2pEHt9QK+IXvl0W/vCuDpBphk8luPtj4+
FCbjdtu5EcDWK98umD7zVisOu5sJLCiKzQ7XySRUBl57oZstbnAQsnG1A9e5k4rt7gJ5DxOBMFVx
32H4skT8ZsFXyX5WdHgtJWvxmxevyPEEY5l74mzilZ/BlS8VYT7VJfI5RZ0PRyxRikP/b1X2e1VG
hfL3VdlGMhP4q5KMr/qjJEMxLoCb4D1ETanbVGu/alfQIlF1/cSf/KHMdH+jAUR8aXxbFb+rtZ8l
mQOJEdGK67gEa2PC+Ecxbu7/q8xU2y4fQotrOAhpvnFqv5RkaU7I1dgG7hll2iFs6764agdzEssk
76uKfNS4m7fMHBrSbvNwfCx9BREs/UL1RUn0MlrNHQGv0ypqChrPttsy3l/hOcKFpRcmM/kMhLKf
vIN4gFBeOPF60gAwFGQvgodnLpNpL+WQ3xLb9jR0pZFeWnLT7ojU2vnDiBocEjnAaTbrsXZmxOgN
kIhrIsK08GWi7bkJgigWN1HGfMcpPIxlNupFayFQupQrJ8j14l6QMrwJOKeGdTMaQXtda00UP3Zc
xCQ4p8NTavoRIXVpuYNwlExcwfKKONrD0Dm3TmgzJ3KLR33O7jubeUkZVR+mks6IqGPzBHZStgnn
mfUeqVhOqdk06yZqmPGxA3iwtCgItV5baTlHQKgUI3ZVGStvGthjF669Zk6opikenriUHb5zl3oD
bWWF8FOLf5i+e5939qduJ/G6yfmlOF57cS1a0BDFxm7g+8O+rdLXySJHNB3inT7jR6uVrTDPvPs6
M8wNGOuChQn8jzExdxFi+qLv5SofYsAmWPqdnEkNgawzARwpgCvGJBwc08GqzEsA8ms5WxEbF9vc
lSmmOtNLh6U/jeZ+6g0MkZ3+Q2cE5XVNTpyyE6DGaLZ54b+FUXkUvnsEYqYC7kngAnp7RxMKY4MU
1DHQfjj+vMn0cY9i/xxKAewrkKtKglLPC7U/CqqvttQggseM1jot/xgif2SNVTzzSIP99Xt3J1Tp
z+N1sQ34G61Xnlsn0agbgxvyoWHxEbfBVO02qDT0B9yoC32UDIOcvlnyvEGCK587QA0LaNWHlk+w
bboNbTkDGAcRltDrcj0X9j7vp+uxdp6Mpj37bXyftNAAY715zMPoVsXFovPotkYotD2HNhTeSN5O
bnBPiNhlrqFmDAa7PmCc4cKP42llyOCmC+bdlAUaO1DtQ9ZatNLtKt1ODpfUbPgZAjIGmqHTsBPV
7RXpuPOhrNzrhIDjTelBfKm6wlrmfdYuans4IWj6ATj0EHceFo0mvhJJxapUd4+gNo2t7sM4nxBG
G7wAK9tI3qReDZvJb699aT/3WqQvedX7RTLleO076wvM97xIq/K2myvogS6CYMhsrquCxAvmgm3a
P5jDXOw0m6czUCVdk8Wf2WTOXI7uszM4dyZ+zX1fApnIpLmnTbRWluedop4QQmFjiNVz294MdXId
hwK/SnqbZ/0ZNKOGwdUl/Chhl5H7N2ZY1BuR0U8M1YALV45qOijuB4PFsy71r8C0X3Ur+wCJqeDP
3PNhSz+hmZ92oz02iesv8zx/zIfWXJs+jFcw++Dn8pdyso+OVk5OrwSzQF5dexQXS6HTUWaD65ii
+t0aoPSYDg4HlS3UOfWV0MZ2Pad0V/38Li3zpfZ8a+fr6G4r372Zu75YeW2EskkSIojEkVlsNH0Q
T9IAemzvoqIFTFTp2W7SyTXo3DThrLVeK2HftTnpzQOZrRujC4aV7NC8J1VVkFajn3vEVmscrJ/9
PPmrwqGyTMx+1TNX3aVpAT1Fsxlugc9e5Dod22APH9iI86XRYG/Rg8E5x6MTE2Bej9i7QQRaZn07
FBQwk4fEziA5OI2Lkc8pZh4JYyR2GJlPSVSB1Rn2Ux685gWw8hwA3tp0mX6OFk9rJZMP4RZ0YUEy
r50i2IS2Ne1EIet9WdmbFD3eKnJFtvE8Gj/Ow3lbJPWrBBhTwLQJh2BbUrJfIo1sdqeMfUJgBh1q
dO5vRq1A8k241gUGHTPX2tgT/H1CToCIME+8LX0yoVEsFZYBzMBD1HU/GEiz1ADtdDABaC4d5FOI
fMNiFxXF/DAPOZ/NMGkbB7nkQqO4X4Tkay+ctt8TGI3T2PDQWDtkFmf+IfDnIyjuHFA2/U2QzheC
fhnYu/BaXHGaGzq9qEOcSP1/U3XRfWFisgYRk20qqJ6LLtLkMrHaD1Ej9iAfw9uOHmb9yUCNQUbQ
SGpCdNPG5k0RzPoqLeN+W1XzEa/EiZSpFXrvmx6FwNoicALbAO127Mqz7yQfHnrSrAkYSLg+barQ
HCK6HCJ9vGnNzhyLLQwh4PfDo9Glb2Wq3WQyvkuJlFoCPhPrRBpM8OzqM0OKHua6vWktGyNFDP2/
I6WS0Av9pYrpvvouPgd+h9bR0PvVUEsSDIL0WHgYM5IxCR/rKFshj3oRNFMLk1fXzfIvmbcvjsWk
PWrP1bfzu80/Asf010S4s1jIs0egInANYnzdJkD7Wa/0FUwahqpOQJJUesxQkyxt7lQWrhxghvE5
es3O7YKTx05hq8fTAQeBv6pTbZE4xVM+yTNbRdYuU54TYWUv+UAPdWMcnSz/oVXe1zDSPgomKEWt
7YIm+QR0sGm6st02RM43FX/KXPRRT/TTHB7zhF6lY97apG9+l7yTU62AkDr5h+6eYFb11HjhshHy
MDcDnVvKx5PTqSeMfsaZ5zkGvrPBWvpp4dRbgHy4i5OQ/zMHOCD5UyxZmNqYqBDVevGWyu2VCmwf
j0CsqXTw54vD7JT5sqvia1F7i8AfngyLbw6XFoFPckyZWm2tvIVrS1yYG+A+QIbHehEpYvFoWFx4
fhFunchAQ+NZZ1z0D3JgBVA1mLw0ht9V7J9gWUOMQCLbadgq3MSBI2fnW9Id6UtJkxHGkC/oLrwF
MpNwQyQts58ZmAEK5ru8r/mneQVeGupOJv0xAhpLVQ9y71rRYZiSr8hw4k04eNeTkWzLedv48HG9
rYQGa4wnT0vvo4yUBhQq+VL3nG2S9GyoXQoZa363vGEjhvDdE2SvmCR4aIFOUk5VvxE3phLpB+b4
ld7LI6/PfTgxVqN/ezQqllECEVDDrnhnhYBgycHtiT4IPKu6FELmhH4VsEjXzLcN7Snqy1JfkvLW
yAN8g0Flvgy912/KrNemy8SnU+hOrK3sAKd8SDBHvPL89FCSuLYYU9hY9Jzb2Q9p6Etto7kJjqZU
GzaxXa7sPO1WQV8+kzQ5rwuvr+n/Q4Nw9+TBksXdQCrKBuf6V53IJzsGQJ5TeGlB3G4IFtpHrv0G
gPyG6AqMGC72nShu8yV1F0vy1EYKNfQGqTrlyHUCCyzVudgarjQ+P/XZUZt3Pk4aPzrVEptkVtmr
sXXPfRtf+517UrK2BRE8b4Y/Mfe3T+wUqG7K6p27BXgtWzRiN8Ctxfah7fRPlhLFdk50xNg9OSF9
d4NcHZp6hGWFVmJBXTOsRFD8kATBWODCl4QAz5u6ESe7zm7NtF8XLcpyJy+HHefuyR9AQkzwrPCc
NLuu541OTP5Ch5VRamfNomFtA1tXLMgg3lYm1a5vpK9pHS/t6DqtkJs502IYkcZJvJa+158JriEW
qGqvcyf5QY4z9nADff4Un8tQPzuYKrOiP9vmtWBUp831SkotPPR6+ZQO4b6N4pfWbR8qv8QuNOtr
QuBH4d5BgFhS956n2nyNK8jojcbJmId7aF/znt3PKz/gQ6Rae5dacB21FYKuXHu187J/ymciM8o6
OY4scVFXJCUCqhm6ERthyFvPVa/DaEgvw1C8pZWH5r9peRL8l8wpiYKPnvKBGei/Df3vDT02779v
6LfZZ1H8xYqFL/rZz5vGb56DlvP3rIPvzvyPft7EN06kAj5Hx1FypT/USjgtKWjxSv3csfBHP/t5
Hy6RSW4C/4GmoBws/0CtZAi+03+LTm2H2gYpFYIl2/42xPy6YimmxkWk4/nIAiR5vo4xV4g9/y97
Z7Jct7Fm61e5UXM4kGgSwI2oye43d8dGbCcIUqLQ9z2e/n5J27Is67iua+wzc5ygSG4CmX+z1reU
e87U8tBY22HW+C/MLOsbxKJ47TJlu5vx38nYO9a5l3BdJG8Jg8aJYqE32mAzWRaTpdJMR+U0nPf5
aFbrrvduaFO/kgAcgSIEi90ZrGYNMDLoF+xqqxPb6xLfO5baTovSN7smL9qJi2MQDzeJSvyVbb2i
39s5Oqtl2l1Iv6SreIXGPGzaIiE4G1RAkYEIdQhJFO70aTcJVJ+5Jt7ijJAiMhz3tes8lcQRz/Xw
mfPwhPcxtVXwtXz2kPi3KsWYof97PbmrROUbx2hYOQ3JPJ4ZjoI/yZdGL3YVsci9ykceVFJyYmo1
ZlHSk3VUSusOQe6qKeZHJgYnMt4UrJHk5VplMBuMBEKLhHOzCza1ymkm2chZx0Q3u0Q4s6MCC2s5
1JHEO2fEPKOtpeovLuzOYTFlvr3JVCZ0ruf7QaVEf3DkBSSZlT4o6p5Kky6VSpXeN1tKoqZJU7rJ
7GTf4J1Z4FD7MmW9izCBPXVd+CxXoK+YwfSKe3ZA4CS+ktd2JZCnodE8xirtmswdbAEfCdhDNxwL
lYo9qXzskaDsmcDsTMuHJ/6eh9Z+mTN5sgAD4AEAihZf6dK/G1TyNoqquFkBXGHRS3paxzUWJSyA
y1+3weJjNTwGKjOscS1OfFbHkeuC38GY650MDH1XTlIQxcXZh9YlLvW1pZNuikveu/PJh/CWKeo1
ViAF44Denqwt43srXaXdGGzFpMCjTl4bRydNu0e3kC5ITqyh/x6HH8ehSj38z8fhNeSDn3nz1Fd9
Ow/x5nngMixHIE0mVua7+ab4xUIBD8TNwG6nqySX31bOSr3J/4Uj3FEK/g9e9B/noe05BoObj+Gm
yqf5B+eh6fCj/XAeIsQxGNp7Lq2U+YGZ+W6+aaH+zk1/Ehc7HQiNifqeNGG3Sk4xLFZrbm4w4z76
uLTZ2aTbgZJZi8JmkSEksYtg6/non6JkvK/bkmyvAhc3dlEP2U8Hx11mIzObZjV3O4ZNz0UAzjhA
rx5cBNLoUxE1Ls5hmnNH0NcljQR8Ps1fUssjvbEj+NDy3WfHAgLtsnHcWEP7TDbADkpusDLt/joa
WnNd5RpmdfbNc8+oAxvtydJZ9HVO+pBrOJ5QC71HJYq62fjiauDuiw7MbW2Md5k7sqwbrWea20fy
2OQCow5RcOSn9TMrPDlNB1LSb6WYqFZzQIqjH68cmzHFiJrU9tm+9nPzue4FDhkKRnLao4Xv40rO
whqfQGF+1pMne7oOG6nmhujih3rHRaKC2jncmUxOFv4AqPwL9DVmuyrNadhTjbXeq4gsv0eeWmf0
4T2F4pgnOxq4ijxrmq4W8fda92k+UBSM68Zw0w3ac1BNRo95TkY17K9gaG+obbkJ5rS+6UGTbruS
OrqEZbUwlDy1qXFrhVUcEIKdgA2pCLCaa8TqXQLtuLZc2kqa6VbtnEevyAgj8+2tdIbphmeTjVgX
66t46Jch9v4rL2Vg4SdWdPJtPV4NXtdchUHvbMeatVZuQXJYVeRaIlkyMSIn3VfDIxCCQWy3rCD/
71jIvvUtfz7D9bD0owgFVobmNKJk3LEoePe0wsbRN5CIXfKo1irlQAfDjFMhvXbNgLUdXqQFyZfR
2kOPurVSk/1839hbN6zeiRP1tvaESbKqNcJO5gIkkZviIkXl/+oSM4gFLNJ3vq5SOnUa15wstoXJ
SV2vhINgMKu1/K2ccmrShs1UYzfEBLlafRgIeTsEQ1dvyaVg6a675rZsZUowJyQyv7G/RqDeF9YU
kqZpmVsmZhpT1jkzt7FX0jZTsLyhAITn4qs4EaUqDrJaokO0egLwBkGBz61NvGOXvvHOBVd1bOi7
YU7ydh3GLgX3aLrjxuvtOv6agq/duUIYN4UKOIQc2xxaJib1wSwZyKODJf4YYIKSxhIXndCyVQ+T
BhZAn3045cBq1004ciU1z+SzPaZKbMutQ0oSYhPIokhxYx1RroM6V6DSjZVcd/LQqBpKwjuximaO
z15u7m4ipfG1Zapckuh+QXy/072+dLpPogvK4BGJ8KC0wjaiYVOLr1IrfRrl4GxNpSsGK6EOEe/E
R7HvkB4XvKdax3PRZu4nut/rCpEyvn81oS/ODIE/G8iY+1QbGSCP1+1cu3sXqXOB5LlBDEf6Eqq9
NoPdiyy6jydMqn6EzpDdH4Lk0UJRk6NcbJa1G94Gek24lVJaE3NaHWyyGccYizD5Sjt2ilcJ8mwX
mbZG3adSbF3eFDTcOQ/bYlK6biv3ojeSzPMXmbTxLjD7aOFYHRy6yrOuJGkC7JnJcLRgPngNTVmm
Q1iXZnVdDNqdRJyzjVn4XAV5x6tMuNw6mQaXH4ksiElr5aYcOZP8YghuMqici4bX5aZTL8+sQ7uv
1TdtS8IXYz/ytnpTRrdpUJcrF8UoqZc1kt0Yz4hmY9gpLTGt5xhBQNyRPaj7zrQduyle+ygBVgTq
WGtvjhnU1vbXZgrmVWLNe6yEFz2vDpkZH+1uzNbmoBuoNs10bUKp2CRWE21Cx4bDQ+reivlNgVtp
tBnWggMJU4xMUWRsDXPkqGfXuwsz3lpjAJic5ihoZahG8iWnlF75YgtVJ7ixayiNYa/ATOh6t8hI
wCbAH2CL32LCzlIWwc7Q/dv5/ZaAQfnxn0udfVa+19Fr+tfmT/B1vxc7gpgLRRBEYvHR4NF8/d78
CYmvEGUdfdcHU+CPYsc0f7FMChOsgHwhNRLd5O/FjvELfFt2r0Tr/Ua5/QfFDsvhH4odWHQWvkY2
GwYdIIAy/v/vih0nrOp81KrpNJosGDciAQt0Kh3Qrl/1ec5tAgBavS1otFgGzbtCJsmQI5uJ4WpL
CgHfYETjouDY1aJ3poUpjc8BNi0k8P4rHNk7wmSy6ynhSaxmaWxIASNc2dKbUyHl17B04cBnOOZE
rl6HrgOZ0uAPbznosCAL+zgzJtlredoSQsGKYlqOkoVtHAf1udQF2zImj6zNkgOqiHzVlMO0qW30
xm1FvnAKo3UJEpZFIEvrs9VPV4kdHd2i9Q9E2SSbRPMY6NDbkmNkyBSLN0q60XNYbKD8RvszJkuB
onZVjXDaK7dDHm5pzylM8VKO+ZUTdp+ExADgZ4znGAOWy8CbtHMdy89Djm+iKhyx5Sb+OsfxC7M+
FDlWL7L94MOwKa14umfE7bOTCk8ByJp9F8bvbTAbz0Ydsv5jIb3pZVqtnCZFSkTzAhTGyz38LL5Y
y0HXrqxy1I8218k2Cg10uHUnj7Xj3Lg41e8gY+6HcPqklSARCovLXyfq2pHsKkDcgmkgF53QBLJF
5oSxq6UPnKZToh1F2Kl7rA7t574M2LPqZsJlOQm8AZk20UPNdS3rS8jfrjc4iU+TIEligQPBZ08Y
8y95S9fTAL1QtrBspnGz92U7GZ80o0ujPTXEfFX3uXeJkDBVi2J2mYd6fAiEvzIaZTTJrdYLLzka
bIlFkM132DfFuPq3Ufto1FTYzt+cXvn0ExmK+ppvJ5f9i1Qhe6hu3R9kKMLFL6ej/HV10xEQj7+1
aSraU4IMc6Rj4rJmnvTHyWVDFSMFx8W5hzr4H4+tfmzTACt5pvoZgFmYEDWVCe+7k8sM01JQR7fn
LJHhpijSaDUWGQknN5PRz0z+Iy/0Z7m2wl4PUTT1VO+2aA2BwsmY8mFpTRGRUJUbVdMFZanNtNzt
BpvCRoyy6gh9SENzC84awQt4vzSCC6T5cW+sNN8rckLAZGddO13n1fnK0cveOoy2PTTjUmhV3Lw6
MzSPGeUaCBA2AmPdew2QoLDexk3pncJKDwkaV9XsMFj3VYH3w0UeVnVFQvGTxATeVEN/IOxy2qAd
yc9OmnS3oJiGNz237RIBbxi89VY9btJGz46RTAoMKoV/jjXb2iDmDNE4kOeOAcicboRj+Hu2VMOJ
xL7hLNCurWp0EsWAAob9h1G/uhETm7RlPbIMWbLtQztuPxlDxTolzO3P7px62z5MB3JpgEmiu8OJ
ZJm3lNkpdTZCkrTTCbJ3BaGGdtuiTpD6dK7ROW8S8OfYWART/aZB4Ev/AM5t7ttd5euoy0SJ+dvz
QuPFnMv5OpxJR1wkRme8USjZhw4f2X5icvRk2o1Ja2mw7CyJ05hJYLt0XfKZjzTfE74u7kQT6eky
hvp+sgY2wTbul/MEdQxXg42lKmqareel9TqePfc8k0+/y2iokKaAaguZgX1mi5IeEfw1D11WdFAt
4hwpeWScsGXSGMmwSdA+UPzirpI3xNRoG86+5tqMzHLFYqM4sBvtD02TXLFinKFBa+6msqfx62AR
JeiWWXA1FpHFzxY7GumHUr8iyR7KeTFR1bUtR3g1ufm2DBBfWCipF6NdkyswG55/ldaafECq+IiS
3Dgamlte+PH9jZbA8G4Kgx1sXeuXaQ4hWoP42gcRa7UCfTIhMOV0G9busOqboVpPUTeug372Nw1y
9+Dfk/W3uvBvCVWH9/onCwHxHZxKONRwEoKiZNT16/H5e01o6L/QjYBYRKmnslI5j3/3XHB8fkSV
CR1fMa7n72pCi5PVwyfhgPQXEKP/mcCPn+zP8y9mcsBtWS9IHYnfx3zsu4PVEWWgi3Buz07joHJH
HY0eOzTSlVNZ3tbp3VemJMOmUt0TEMXY0q6yxu3UzCoy4ufIQHhyCf2iq/ZMgMsMQnY86GvU2p1z
XVp1PVznQ3kuzST6xKYYwSs+KgfJrRqtwaN/MVObQzyHS1fqPud1QOMNWC5XR7xhzeGm/XhaK5s2
bW/5Wob4WrRO2jxnIbrmEvfgbLB0NnGNRs3GyMdIXGXZMBd3wUxxs43gOxLiBB1+65kB+wKH7fbY
k/1YF0O81RImSoPqqvpEivUwVvNWT2T9AEGhE7vEm+S8NptuCshv9uj80461N1WzrzHNtkoNlU45
y1M3NSE5mUYh7yIpa2wDTskanIXLVpDy2N4lZorFQFplehkNGRrbyuG/p6ApnuZBTfxK5NcxTriw
cPZI8kz9X4jcb68odcd/Ln4OUR40P+nb+KJv1Q+kU8eyeRdBLP/lHTUFgSEMsFUsMR3V76+oJMyY
/znUOa78eA+/tW2q+OGtdQz6QIem7x/t7Bze9R9eUdpDBMLQ48gmwRv159pH+GZLGIGDMXDWzPoe
KSqUz2U+ZWIF+bjD/cSqKTo1bmJCLJEjq7UhvdE1c+mhc8vQ54xttGwd3Wf17soGalNRz6vJ6XGW
dHbDC9U0/hXDCkQeRVrMyU2B2BZWMJPf8GUcDPDNpnmeJBZdSyl0Z2dELVmFb8wLGVUqHS/dbQga
TFuOSHzJAUwIDcVNPyD/DYX/xH2NILggmXtapR9C4QTA0jJT6mHGdWgHoVQ5o1wW3dTmJ0ub5G7C
6xJZkY9JJB2YVpE04ud9+WYAsgqgFQBDyfylKPMNPthhWWTxroq1XQR5dTHW+ZtOMCg1C0QTlCn3
UaB9Nk5lPp0KC6eM6fDxpDMpZan/SVTuTVboaw/reDzfiFbeD33zKF3YVajSvNO/XchHF2Lx6P7n
FxHzXPte//VNVF/1+5vI+pwLURiU+B9dA+/bt9tS/ELKF5pv3tLfcE6/v4rsyLHvscFhqCFwFBGw
8PsEhebFtNDPY2H8jfL4DyYoNBs/vouOigbi2lVeSW5LNWH57rrsjdxoK82bLrb0mo2upfm6Yb6R
sA8mpgPnWjza6M9tRMS2n5enQbn5Mntru9CDm3rumPbp9nHMR8Q8MbqzDh0plCoIQJPJ7SVaDwMN
cFaE2+WNYdUEeZPJeMimwGZIWTx5s4iXmq1/zisWF9zcN1lUsK4dinSllYQu40q7zC5r6rzooQmV
DvLjgpRCEiYVTzzg5MiMG9bXCJuyoVuxXl7rdP474gQp5E1Up+wlcmKeZW4vozK5tYT7PiTVXdFH
xzJToCRdqZdHbbwKlMpnbr3yonfyhTr91qv4V3yRnCxXH1Y0F6tmzFNoC95Jt/hoTCNdjEF/oyfz
Q9aV915cHViovXBcbfFO8cPORF9iuztalNCQrOzTXLpfZuIVCT9NQM0b/QGge8GLO1TAoBHihOig
PMP/nIQmcSpusYH0una06oQC9ClW6Dc14lpGYVavB3t6myPjLCKyKQe3vIVYCckvNiv3ujFdbdoy
V5/w2fH9fJ29TgUBGTYS7PRia0BGhi27hc186IS3EZCTZ9eN1rbTH3KqdoQODoq3ZsJo0zXl0spi
JBEKw+wFsIYHAzJzB9ZZoZphG657gAOrZnr3Hbk2DCytBnTnacq/dk5QrBwFfoYeU2yEgkG7UKH9
epILR4Giy7i8CSFHuwohLRRMOlRY6ZoGCpoIhk+jfYghT3cKQS0lkmsslZu52iBsVJ0PtiQhb8Yh
eMT/CL8iaw6BAlv3CnHtKti12yCqZF3fokoChe0Ar1wXCo9dKFB2pIjZkLOTD4Q2LG1/cGtCxMFr
t3C2dQXcbiFvOyMI7mbUIiim6NixzFkrNq3JugysCOx+py+wCJbYnkB602oi/YcIzerQ2Blwv1uo
C8sux4rojzPCj4oNFSAgIm6GG26n59wx/UU+Zu7aRiiWSWPHDhoGdeBdxhyyWKqBdHBCsdcZVC5k
KVp0b+gk43S8FKO2rwtYHtOQfIap/RhneP2m4Tq2OhYnQfbOIQUrJ0AZOrjnfrD1dYw6gWVW3hO0
QA9Yml9iK6LNLcOdmU5vQ+ydkQPewQJGpW3PzylWP+z0drBx7TjelEzsFkhOnpuiujECJmvkBb/H
MzYNFJXbucPLb6Qa+UmwHRmQRXdFGNA/YyVba2XymA/Fo6iV27i3kOXHL7lkdEe8F3sm4IeA980T
GtmHuNYODEyuXC8jeWS01zIsr3xGk8tOpT7YQiBz0Z5b6DhKclPU2DoHR6GbA+epnTGaJYHp7frS
8VZN5rFzFjx4FTK/i5EUrraq7Dn68u+1+HEtGn/r3T+/969fXv96Laqv+nYtoqJAIGHADzZMyYD6
T9ci15Ry6CtlmSO5+/64FpnzI22QjPwd9eV/XIt4+nVM+zSZTNQEZe0/uBWpRn9yK3IXoioFciz5
Kf58K/pdVJo2+8NLlF+bk6OOsWlYjK13P84GC/oJ3ptn5EdmSrfk7L4RcqYtHW3GtRGypJtwTyyc
1rtqEu9C6GKBV1i+QdM6pZ33MM/VPa6Krx3qqUqTatTnPKcl3FG3kXh8B/o1IzsWiAmWPYZQ3P/m
edAhPaUSDBQxbA8ykPPGhKdFUkC1NKgnF3g0npLUeQim+U3z3XzpJ95uqLr7JGqv2aqfI5eWUPfI
rkTdURQjIT59i3C3R2WsNQfhxsSr5f0mGwt+Z9zvrolwpNt3LmQPIuWUvHyTh9ojQmwwGvYCHfs5
dQMgBJiAcgedp583hHZzB8PDYN0AMoU9xILy6EvhRZcmQW0fMK+8m4nDjnrcyaJsgCyNkkmSiRSb
XhIShxavPc1+zubEYEfgO+uRidiVgy1iVQ2iWWkgz4lYIwxh6FdIS+yVR9SxO3gzY7nuTk64ROba
fiCdvEqWQVRbd57TBTCNCCZhG88KppnvxTCwGu5djD0rmzMtRIUB8uQ8TphP4f4HqbViSMgOhCrB
lThDmmmrp+NuHnqoAI2ifgT03brVL52ZRDPfFiCKyn6ZOdZ7GdunVG88yLbzC6y+EBM9D07od/ct
W+Mofa99+6oiGhBsTbMneuww1k6MsTknEUzX1mHCIlU4IBB0tO/JZB5gKT5OFvrFEuVzZk+vwLyq
exx9t0Fm3QoBSLMc9h2wKnbZ/i6yAQBrkb8jcwASVmUepg4MrqeVzn7SqETmzH3Q+tpdyErbDJ6B
lwBJXROhFveH/eyh1tGLkjiXIF95PYtpCrhtFGGaY5V2nRv+xuxg5jJYBOjbPcxp+pjaxlfU6ihG
4uqJVc0x95P7yQmfkT1co/aNaKbcXZLPT02dQ+Uqwh27OGeZYqfJx/Yq6xye5nh+6hEsghB4bRF9
AL85eHG0wkb2jCGuXfnmgBKb7fQirZVBsb4PG5TeZQecWHeSQ4I9qQQChEf9ufLondgpnerSuZ1D
Fkim/ygmbYS4My2zrnvBA3NrpMXGIa3NxII/ljqUADkbx9jF5VzJHHVgf0ahtEnyLwlrua7H/Ngo
z06kTDpID1cFkqBI2isXwO7CQ2rD926eWP6NS18arxniTMTfSbvUqY4FAQ8LoN2f5Iz/Gt6Xgw7U
+ZTnwcGt9OfZDU+pN96Y5CQLnIkLr/K+4OrcZR7EB4naAksTD6D/KY2Z3jALerdjgkOiXnziMX5y
WuQ4wC/ImJQ3jWcCpJ6YFmvDdeFjJ8waQfZ6YJA27uf2IpWhB624FoBEx5RVp3ebJJwrIVutvd+H
+hoN/rDJpfc2+u1rklbXviBvE8qzv8Kk5C+zqfLWdWwfSrexrmcTXhGLPhjSfRXflbnA+IUTIkgw
HhXF0ZyDN5ELQILdtMt8T1u3iXHGnRmrkqPZTKmbb7ykfcfvN687J0xQOxA1ToSktyhbenJ2PmRt
2ySp+1Z9nAW0BkNg/SOtOmxva4IzIYmbezlbZ0IAD0XGbxkl1QrrLD74WbNWUxCs4jCDMuVY/06N
fx1JqUHRf+6ETzCM3+v36SeXPl/33aVPMgEBciqlwPigW37fCxNOQHizJC4QH/gfl778xaNHdj5i
fhBHfmuEP2ZSnsP+zsHRrSZZ/+DKR4b545XvsbPBZ+4i7WTz/uOVn5XsniYsIOfMnPsNo1sL3Kzz
7DAyKZzu0WCEgvUNSssWxPzaYMDStcG9ryYuk5q9lAxhKoYx8giu47M5JPeZmtQINbOZGN7IFqTK
hKkCngZwOTZ4JXYyGzvsMlSzH0MXL5qaBgk1FzLVhIhC3N/MDI2GCNG4H9RXRLfirFIWCKwQOZaI
WWvxseCRGKLqdcI0ga37tcZEAYXcWMp2PLUf/grltCixXHSMfXE+48IAxvsCjS865KXw12Kw5UrH
tEFo+4uuXBwWdg5f+TqkCwkEowd43TPkzCURmlAmtwnqtEr5Qux4uMf1/Qw/dzdgHGmUg8QxypXX
YD7DXSIA8ABN4maNzlY3LytlQ/Gj8EuBLyVoOccrOZy9CMdmERl7C34FhzYINAqbu6A61c6mbJPn
Svld+BG33N7wR7DCoClrFu2HO0b5ZHwLy5yNcwZWIuUPZprY145SuWsK5bPxo249FPFtSV8llRPH
Up4cJN67qki/1Mqt0xpNuQhJF6uVk8fG0jO5HlJ9PD66cvuEOXlByv+TYgTyGRU0dkBwkFO/6cor
1OjyGLrzqsBENEq4ji62ogF7EXnzZ8JtVjJGYVlM8XEISAuzwGLY3JYoPyW6Pe6wXPmWgpkOUSov
U6pcTanyN0XK6RQpz9Ok3E9tNl97rfNql9o+0PBHdY1Bdw830DCmm8GReLyBYsrK/DxhbF/CW7nN
RRavQv5yAHju7QJZVcYWUXeke6w0sU/d4lTG40ufjQ9h07yVFXs2MUz+aobRCh2yi5dTjYUuids9
qHkyCqrksYsY6MyU5WoYcePjsyUoY9xlNHCbGrLhYp7QACN1N/E/QDSGcJgVh6IsL1YdbhKp43pI
cV+HMG961yCN1byL5/wlFdGBRPJTMRs9ILn8ym/ao54VeyPDmZ3q5d7t3beYtaoXBltpMYSRbvNp
aKK7stPuo0KSHVxcdbX1jlJnn+jBRdPzl7xJ72WCYTWdh6NlIp3silPXJyoFb7xJs347+hjsOgmu
Ydhhe9qL2togwt9VQXgVWDq0KkqxMh0OQ6Nf62Q7b7q5Xvlk/Q1OqOxm8yaqkY10qGem2bmqPePW
jsoDyb07K4FzM6VZt2cNf7FALjDNuiB7/dxEE1PvwLhriuYRv/eBsujUhdYqDKbbXE/J3OKlT9IQ
E2D0GCTOFn//LpORu8cvtpX9AKLbaU8mukRuNfPGioM9yq6bTOt9SBIVrvZ633v6kz5SPMHnTFee
0d3iMoGBjR1rdhhD5HP21LUm7lKISlO7YgsFOgAOnpnKFyK2toMG78bD5Rn1z3nd7Rpb/zoDBl2g
9VvPjf8UYfgB7z5reXZrRAQXs8FNDXDfUAum0TSvME7P61qmBxyCR8sjl6ntIE0BzwzD8GL1KclG
dFpEH58GaKvkXORvPU7GBZzKs6Z726rwzjXUQgiR4yardLGObPEQie4IZ/7RTLQzUM27Wf0JTdd+
g8TL2xisTWNgfKA9jnp/MYU468lI4hnhS/U0vBoasZNRGWCjq9BKtfwtaoE1uwuibeVmLyUS9Mkj
DaWNVKASQdVAv1aNFA8Oq+8KyWUYxisbiWZPrvTSsD45QbeOovktTp272W6DY25XJRMb/7Ykz0zL
dcJ3wU1Ys/0CPnGLtmFhmYO9i1tprYd6NHao2HmXg/cEJSaGj0JnRjgdBauZjcAcvNEjvIIV7DMe
inJpjAxxZKDvmqx7aoborspnBLvBJ79udrlGruQ4uA85jDZ+Z+yh6WNbhf1+tK6TJFnFek/VLcEU
ZePWtorL0AakkMzNir5np6UzSFIXEbtE0SV2deDx0YiLhvZuEcJ86jvjjuWHC/+QfYqLRWbRCxhC
pjw1Kff9Om3gfq27oYoe7CwiAsyXzsHIIXRmzHU3YSWRqSMzjtyet3M+AsVnHlTzK01TuYN3sHWC
3Lt2YS5RB/b5etbAYxkkU5Kk2Y+Ys7M3AHNrSxKyww2DO9Ql3Ks0oHUyRgRmtoP9hsBG0XSL3uuv
GJbR2GnT17xu9jZv8SIBN7Y0MYQD3RiZvdHN9EVgkAYj65UTUpSKsHG0RRZLBqBZcBxEW17ySrRP
MSTOkMqy1jadO9g3zZDPSBfmEgJBarnwBjJLrMthTlez0I6DWV/1ZXQNUGRjjaSEGAyOK/82qGqE
Igb6QkBkRuoSRymqJ6AF8dIJhnUtyDPok3HbWT5e+LZ962nYBRlilm+e+mHikolWWddvWp+C12w+
lTrgGtcJXzlZH9gd7fwhvOj2+O7H5iGb+Zi8MFrzIBXIQ9i0zfaBZMuTH6Xmkiz5VYzCUCuzq77j
iq6Rf69kDbZax2SfFLdkgqF5zuZ9GcijPUY7ZsdU+eU+8wacJHrCXhrInoxN8pWyuxbybF9M04rI
nk95OuTE/SUHPRr2uq6dWGQuKYW2xljtW99jh424yKkOQdk+ApA4pHQMGPFAj7mbxC0/K85CnAQ3
o0+lMNnlevbDNeCPJZ38exZ6Ry1H88JDN47dofPSz6whkf+jsSn06LZWdm6DIQYCxoWZyV046neN
CoJoc/Yck1J5OwST1sPGh63g+XjoOrYjbSx2WWc89a61TGMxboBnLE2HFAOf55EJacXpnjylZrcM
hB3AvzPWXtIx9A/SvVbGD57nb013vtZ7I1wkrfgEEGdjxuVjwRJoZWZoJDVizf266JdoVLs1WXFn
hrRnPzBfRr2V6yguVcgCBoNo7xH7sCH1HhPf/F5O9rktSRLnfG+P0uBhCYrBJhLQYewwlWJNHrh7
KQSJdhaYrNRFOdnqN6kFuxEeIfBlc9OQCsAcIxSLGknWDvrxsz3EE+MTkNcJQLFxdDsCuYrHEY1D
qclnw0C6U0Z0++R+LHTZbZKmT5d5w2/NvGkHABdNvBuAtAaaFpBws7TL5FRCmAPDMF80oz4ghMPO
IJmzV3WGZnJsKBHhGlv818TKVfTVXRCNgKNnlKeOgZWo7Y4zIvhFaVtPo+BFi3U3WNWjhwBtss4i
ic7JkCwtQsX2Tjg3x9Kv4RKM5iPxvMHVAJjOa9JnjHfWTr3u0iTuDuhtuknq3nx2Q9BmpXUjhjE6
eiY4E1Hug1L/BIsFE5CtY4rvtgE5TXqWHKtAB/piwZS3s6+dC7/bIlgkMN1PCfmBUQuhoJfUmYMy
9bRPk6huvbGCTVQ651gE58yJ4SZYEwuX+KFKvWdrRJXGOXywzThfd4EsNkZrPc+Zt/caoSEOi/Jt
zhTioJF2Bf0cmxGMzl0MBB2+UsntGFiZbt6NIjZoI/B0W/DgJsuIl4kptbUhIp/h13cd3/WvVNP/
k3fZdYEat/nv/1Kbwj9Yp66l8uqw+yIJAqyFNO6HmakR6ToyvDy6wGtZ5PmpwQHmWXd//01+SJb/
7ZtIYUlicIia+UE6kPhjbWpNE130CVn1Scdwo1mf2uHT338bpBN//V0cadmWblso2dWP8d1W1MeB
RRegU7gbX4fiXjN/Tcf4PP7f4L34yWf1k38fDJoANavTbNo/flYNGpyC6W16yQceNGJgGad/677/
P/99lKp8QnxQNl65P//8gQNKxbSr7AK4MoP07/1KJf6PPz/j+b/9fH74W1syEaHGUUp88lZjPCk2
tbNi+zW+p/GvE5V/8q3wTTLYdi18Awzk//yrMGDWZ7RPyUWPd3AvWD7BOg0srIigOxZ//7H9eez/
8Qj/6c+iHvHv/uy6iLIeTE96KdFSEOJD39WuOFOnfvP33+gnn9+fvtEPv1TuxF4Bq+rjG5kMz1Gw
hhvuEXUVl//Ds/aT99IhMArXNrejaRhKjfPdL2XaAHS5ePNLAxKOeMpxbfuf//7X+dnj/N23+PFx
mxm/FoGt55fcfY39Z0v7XzzOxFYiafKQRQDt+/OvAJnNbi3s1hdIuJ7pLNLpf3F4sTVCFcX0h4WU
wWbp+w8p13LqeymKy+y8Ds65IzVWb/+Hs+tnf3QeYmSOFrYVoWZc338PL8wQ6wCAutQUftPSxRJi
32DuL8oV+L6//4v85HsBRUCfgEEHnciP5yRucoZsLGxwOFCTEIxHlMHaqRYFNdbtx7f6N7ZN8CZ9
O3RXr+3r/3nPW5rW82v2/t//dXxN3v867lRf823cafyiRonIe9Rf/cMO/m3cSc6PZ/Eom5gAcBp9
N+70IGHyJDoGI0rAl2ru+of0hzQeLgtw5tSrru39k4nnT1JclQAQJ7urM+LVMa7/8DyaDGv1Krcv
SZ8GBy2gCbkbR6JCdhTHyXZgP0sdDJ24cu0V+/p0b9Wg9/4fe+fRXMeVZtu/0tHzVKQ3gx68m3m9
gyEAgpMMAAROeu9//VuHbKlItUxorklVRUkkQfIi85zv23stq1esXRoyi8lnPScQpFJCSjKcnbJV
yFBLKsYAO7mWVMsk9CZTURwUPo3nb3uyKVM3dg6vWQAw9BaX7cXAzYbRaEDTeoH3EAmOQuMxQT+s
fPMQ60l/16Em1gccxZm0FbfSWzwCUsoQGS9GtR0RG9fScKxK13GrYyQr0B93i3bxWu8dqCZCc/eK
G3ZPc/YeLuNWKdvPisCjXITlsUas3EjDsuaNnzP6hi7q5Vy3HkSMXYFna0SpwaiI54tnniN7w63W
iRo+w3976aXReR6QMaYdlmdIm7iTTbY60gDdsHlaOUiha7xrq7TR4WNklxrmEZApca4RSTcIpTug
1h1/0EDfMNiW44jYszrk0kKdc3+10FKTQIH3g6faW/AXpECTnIprruHMhwWptdtEt7O0XEddsu8F
T7BaGrC9mQykK9l80o6dkMSiEvGcEk8m+F/6ltEsGwYCiy+q6K1FzuZzWbCCQpu3AOAPmTRx5yi5
OQ/r5FywdBM0IigTmWuj+eilx9tOMXrTm6KLxhSZ59GHIq3fHOautfSAL9IIPjj1J1c6whVk4UDb
bzPR7lDIIT0bSj/p8IpbomA7K13jMzdoF/m4Q11inQz4yDXE5ITHDsBJuQktt7WrfKJP9Txysl81
KM3pscKGHFNgym3CmXrepdJ/3nwzoaNEn1zySgrXMj+qxCZBmz5HdO3J7W0chOozcTz6z41EeMd2
+8qsTD9NlkWgJZfkjc6FQh0QtjK3/P4Bdc4S0oFLE2DHAHnGoTPucHviqs/flO4UHiB+fnAq/8QX
ICH0kbuAYne88RRK/5TqGU2QIY1286BeF74Zbmc3cbap4jI7kaGnadQPhpEYPlyzlVHzY5a4Uq5s
nY2VM6klQ4AB2IlVG6T1tBmQiBFP+5ym2sqqy/jgutNC4N0akYrEXJMjEJzqMGxGIHQuA1G4gSh2
de1s9NxGHM+7haWDUSlLLrVdxStde6JXNN83mpI+F1oC4ayGzWwwUtPCplq7+O1WSKlSUF5c8Ez2
G1PBXcygJbRyZVs+1z0lcAokKtrYDxd4l+tJlLgPlPmc6qzUPdSnPe1BethoAfS4fW16tp4gWFcD
vlmyQAYdaveAlsk6aIJAQVkl2NPdovmiE+hfAcAduSENrKllSraIHDB8eVMxuMgguHaL+lZr+uck
z8ON1/LvjgSftsUy8VRKM2tb5qxgWyVRCctjSNF0+fcbsv9czPBYe9E2G8dLzHcUipn+kOBsiUZ+
16piYXMuj9psbOOc8FjpsYpIloaOjef6E3Qynhk9f0MLeEj6NpCD501e5LeRFZsIHBiYwzE9uqJn
TFCp29hKn9Wh2fZKe8+6eVhlGRj4aGwYAqXntm+AEvW02yEfbsOq2tl9+yGMkOgCL4+gUjK+YdNs
pZ/dKf+Ut0l28qKBJX3c0psEMJ6XjAoFKTs6UU/knjejWUH0cN+nUmfPUOaHLuV+KrRpy7Xo+8Hn
3xOCwQXiz08I9y/Ffx3Kl7qP/6BRI3/obwcFnO680zkI6KC0vsFhfjsoaBwHbE4PLE0dYr8c3n8N
Q8HZJkKlU27kHslZgTPErwcFaowuwf9vPxlxqX+0Gf1+VvzPxd6C5a3KeyR7WZPDCu3mn88J0LdQ
O5tzc52VwSZWofcaMNyCSOve7tEBxaZ9JhYSXWyLD+diW7c1MQLcFOqdEZp3adO/l2pVr6YpYvEx
HCNHalD6U4pQShkYlRYcFgotWHSCVoOJ37QyTmo2E/3t84tuuptQOKc2UjblrNwidHpw5uLJmqCH
hvW7C9Gk0VzuBMU+7UndK4iQ7AgGnhs9Mt33FVO9ndPs0rOg46l+mZyhIws8nVhsbq1GY3UqHixm
yShPk3XWjK9IZs8hAI2uMb7ATNwOnbTD2cBBaS6b9SWMootXEtFdTF9E1aXnXW6ULCon/YlWxi5i
weDN80pJy2uiJRdpGRp60kvtEkTq8Azu6iaK+rMYZ3+AlmIy6WPFQjATDoT30bIzWuNBpMbY9wda
fi+I5FaxbT6BhNwrrRcMVnsXiQVEQhLkFZW+qrmfW5QV4RRfgU/tUofdXWI/WEhkl7m9y93uFZfh
BfXnJQrr02DnO4sHGi+uXV/jJxfVB6jGi6Wxxwm9vSHMO0c+xFyl2nUOlnUzo3nZMwDX5vpYh+mL
UZp3XgUuOabclPXOtVe6k9DzYBHDvlkYvzrKXeJNe00NH818fuAgQXso1lYwphFtsd+IQrX2nbw+
x24m8ZY1K7i5D4Mytl+cgU1lVU9bt7IYp07VE3HiaAUM/BXwL46NpmGttW5nb1wgWbhNsku8Itp3
30zW5iKt1gkLAWM7NAXvXA1Q5TAx7GdssS1r9FQ0D+/SsqsOUDAHv60ZZ+NuNM6MNmEKA+lcZRNh
KNChOpGjJbnTNX2b6oRuWehgwySJRrjfBQCG9Qbm7YItke5KUjn1uiM37/fOaO7YGhOItuf72Jzr
gPwKYXLDTjdLjy2trGrAPKJ9cMEUrFMbuFGS6bexO3MlTD5Gi1yvp8jOefhWugYAdfO6YDcxm/RS
t+kYpOS5zSx8jxfzDGbjSRn5ceem70g8zyYInoookmELQNLlrV7mj2OPbK8aACqGlPF8ElGsfyrz
VbCHX6mNDIq3NRF307vAG2IXMSVfPYVh7mDCUR6GqA5S3X0XlfelmPUHGn3vfP0Ac0oVL+RsZIFR
kTCA9lEFnP+B6KWseYZK21VZw0Yuvg5RfkDL9WhOM6FwlXeqe4C2FwM6ZmcmoscYrwVk3Poyh2O9
gfENwadX7HOZhczKpPXLS6WkROLhTDjuI17jMVn4U64B3JYoedhxyp0NGuQknfahkm0TzD6+twzQ
pggRMO++woN4hTXyOpncwBupV14cG0onwmWHkquQCma9ZnVZcTQm5L8NsTR3UtfMYwq9krWPRd+u
eozOsyC76CnmWyxlzzbFN6/vXpW+4RqCDnoKVYIh4RMN4wF1JgZCIuK+KR3SUiZtdgSol6b6FI0G
oulkntdEBxgIheFnQ+qowyp0+HwZGxC/pE69kW9Rqa8uS74tOc0wLcdtnasE/wapu+5506PDGAEO
YcKOF5uvbTgQzrpOOZexmcqGiz17jFRiV8NjoaqHTuq1MwUrVaxwhaMGfUoj9X4U3dEqok/a7KiU
O1iKNwkpehMKuY3BG9q6hn4jfeDexMYphxqOgC7r76MoLTbN2IrIV0r0HQPxSl9JhmhvcvyFE2Su
CnylWzITIK0KjppFm5dcH3UCs/NtlbccR7Upu41paPj/Tis4BliqdIv9+Vnk/PL1vWHq9n2Csf/6
P//9v01DftSvxxBkaippbEZTOkQ6ZgM/ZLLVXwCtgFIgrMxQ6cdMNg55R6auQb6Q36Ku9J9jiP2L
I+cULj/AIFf1z+YVDK45Z/x8DgHlQNrTAEgjZ/K/G5oqqjazP9HENfTyjSPx1l0LFySDeG102VMF
Absioh0sMLEdCccucnHOyn6nQs02JT579CyKIiN4Fyc7TjBeVouXnAsQC4EGfbuQGO5OArldyNw8
MmRMyfPW9CHetB5Pduf2l64X/qANzzZ8bw3OtyWB3zy3vtgehaVhFI8N3987kq9HkY+h74TWEPBl
l5sehngpYeJC058xMhRBHZvTqjVAjo9knzdoST6GsX2nQQzilynD2kXK6ucwy8s0ugXg/rKo46Mi
OaWexJuXVrysU4jnlkSf98SZVhWo/VXrlK+0M94iOOk5XVAeE/wWewlRbyvtRoGqnmTiXEJZTyRu
PWksYJ+xfkOj40YtjIlAR9axOwTTnklgO8HsAXjm+AYvHMaC1serNIJPt0QW9Uc1+USc9YbqI1UW
FdRNa2TknnLvvoUUn+fabVuMzSYh5hso0OQjqPJRNx2rEvGCM0IfNCHPC61K2Fly6KCmSOCot+BH
x60bIGBZHlCVFDuvtHp0R+SkWQwbB1e3E7Ki01dc1PNBDBFa20LlBiux+MboKlRyjJMtifkmulKO
FuHtLHH6UY24eBaqTO/m3ooEle0XEsBf2sq2hMivxA5S+/rLTBN62woDFk8VyZWlw9sToj8ETurh
8PaB/IeoAupl7TgIADKRv/GOxzgg5QDgJfJ1JoUBE+aADIOADaTrHKcVfGmBXgAuxiaJEQ6omAfi
UOvWg5QR6FgJ0hCKj8PAK6CAxweypy5LeNjYNToqWdEvb32jGryte574UnuQSAFCL1UIcYIUYZnd
MyMRL3An+72p0E81nnYpxq7wjY6PsmUmUyCGGEi/mF2YH/Y9wMIvg5QxxOjaVq3rZLuunci4ifFe
kfKGEIuDI3UOY07zlqkekw4pe6ixPoQqIyby7OYOjOuzl+iv+De3jlRF6FN7VnKWNUJh5m3ik1ii
+hX728xfvlNjeGs9+5bpVkc2eqG8zDvGwvwyNXO+MkasGtHTJPie11O39LO+VxlLTpvZ6IwbZ8yf
MSu38Mw5WRISI7FtzY+TkKKdkOvzFCuyGpAGZUkcKU1LmKn9uB0zOsJxyQSn4Z2IltY+yroAhQfM
Y0SqPi1leG3s6tRPLIL6sviIu/peN6J9obvHwQVuxPp1QVqqp/khUqKzmjBxI9onOCr3aFMa804t
7QFcXT1s6kk7ugYCGYhV+9IRFBtSvnBP7NrRPEIl/LA7Z8PLTz6azHWJFPdQKvOLrnKYImNCz3Dq
xlU8D/YhXrqNO4kJTVDidN1TwbmCl2dUYWVHtVDeG2PfPpbTND5PoQ4U3FbbodkZsWt9EWlpHbq2
ysQNCjvh7ul+ml9CYevhObEY+uZEr4PeIyMfmfbamnQ+GiHRmpDPy84sQZZz1MLPwudubVU0I/kU
Pvdmv1vgYJE6J0tho0d3pKCQexXh9TK8dZeF7lrf+QupE4IG+U1mi/Sh50a8zquYx1Oa6Uxxkg/R
OLcN2cydMuLwA7+wy7i6+Q7hfcPrvubz8FhbJDf5Lt66IUgDr4fMpRKGNONjn86WX1XqizbxHC8L
jEI0vrVRy/wOWfyuzsgAFW14nVNV9+cuBbYvEoxLkBjTfSE5+q1RvDjlAPhUZ9fo2Pic0+RVB75f
JpwVCV8VNYK7BTx/aMLpF5LY74Du58RUDGWQpzuXMWGxbOM+3iqDeyUIEm8G8P82GoAl7/ah9AI4
CAI0RoWUWIGbZEPNRC8fMRsaxNKkWaCRjoFC2gawteQrOKQAH4BCzCxcjUHV/Hwkwanb9V2cWF6Q
Nc4prOqbUhoNAPJwbWA+Wkf6xZTWA0vg+mgaPAgIEfDJ35R5fVFA0/ulaj/Rc3hLpENhnLLjKK0K
w9Qdw2p5stAtEBG+zhYdFBLQh0oaGfqk2sSeihLCxTuDswGxA0EfpdRWPXP/Ao6Mj5SRo2EWAOi4
d7wU6CcCCJs73WaUTgjD7Y6JtEQw4Lb5F6dNg0DClCaJPo6YlSKXIBPO85nJejrg4lHie8DbDFuc
PflrBu3zacBSkRr8VavwqhspsHAwWeSaeE88b2dhuCgV/mmI84IQ9NcKB0auR9t/z5Pfz5Mcr/78
PHl6adv3Pxhryab6D+dJIiHsVDmxMUb+HSnZkP83wWAq7vYPoBgTbS9nSVtl2kQw4qexlvcLczCb
n5ElGKgKSoP/IPEPsuv350lL4wuzmGkQwjAB0v8812IiMyngJcbrPBqts46GMOHu4yB/EHNMHUwP
j91Ca3Q9M7VKH7VeA4kO3ybu9tUSq6tpsJf09H0CkUx6x1FsrIpSYkQN23qTtFN5bmjCZd2JhvE9
uKzdZGvC+/BUEtKMbNq22XQxQOQgnJeF7+OqHG3KZ4pksdS20BcCx+nIN8pSapwVqbFN2jrXRbOs
AVRDhA/xeAQdza5tr6a4Qrm0m9ZDpmHD3TiM0OHZMEzH297tKo5Ju8mYeyYLEisrvhFmhUjybk1l
Q91FEkFLdxAYrcTSet8ItXM1D2slIz41SIAtJUYYt7kCSx3W2CuTKCy0EnnbfaPfWrUwtxZEXHtU
TAjE7gdbPFziucjXDgXpbaUkMuQGVJcK33iMBJoYVy4MRMwLBE4ixyYJ5FUlmlf/RunNJbC3keje
XuIXtRmcr9uY7Ngk4leTsF9bYn8rCQA2JQo4m4ACu1XxnjqLtTUkMBicvLlty47A4zecsHAQ2Fl9
dpOqwIZrqMO5xA/ndT2uXYkkFq7xHklIMTAPPhaSvZoLkwdNKWjAQTVmsiF29pIRwpTI46hpPpwx
DPFysP5zcpaawSghyVmnO9uSnvnBkwhlXYkSmu/E/oUELMsJTiyRy+yDWWdIDDMpQWs7SjRzKyHN
5ZiT95Tg5rGHH10swJxz1/icSbyzkKDnpjFVgAmcOLnXkOKtOMj0Eg2NirC+Fd9w0RIc7UiE9EL+
jMGPBEtD2+II/w02PfA2QZVSrSfN6THcIBANJZ5ay3CPwBvKd/8+Nr8/Nv9yJXAq2//6f4V4z97b
P7iL/7ASkJAtQgOs2HUG8j9ZNMEXetzEyaV9K07LEvSvKwHzF5eHKjwAODgs2Lhw/7YS0L/xt3is
0sp1ABja/+TZSQbhp5s4gSxVZSlhcPPnGa7Kf/5DpCgBPe2OhZdcKCIuloNCemvWTz+8T/4gwqa7
MnPz431f/iqAXS1O/CaQWYs/nh9/lZogMigtK7l0ZRJnQemq5KQ8rBZ+aOjpOjHaBuKcrp0cQd25
xyTtZwtpWFbrd2oV3WYxamMrik+jqpIL0BTL11wGv3RLVF8V0X7U830/ROd48HZVr50Imt22s36u
l5I2rnEFHXZQkxR68yDbvmrtMXbg8RL2EJ1j3fuqTRGAe4ARq6RLJ3Z2/UcM1osMpo2Do0HmAOWB
Hz85Cko3RJz2YVSWfBuOkxN0CresxCMJjPaat0baFeBqdfMxZBW0dTLL+KLneEAVZjLbWE0jex31
dZWty5niTVlqmOlchJU74YGt2GsGMiG2pu7FZhXAGg91HlVnN2I4C9XBfVz0mpZRrWfbRmFJs9XK
ETq+X2m8dGu/t/JuDhmdWsrVrXXlzM9fMRNAEKyQoS7lgZtNYmD37NsBHeJZdNwYRISZHno4gu4N
v15rfLFmAZdcn0tOw2I27kqnsaabSEN2UovZO3qN7RwG1p7PwIXNp4ExLRyPGTpqV3BtcqFHNvS+
rHHZubyRbV8dW4+6OmV0GzjZWukRQurVRBkeoL1fCzFDBrGGi9f3zrrjz5zS8dK+tIRIppkJ9jxR
K/LqeK/oubZmC0dpAFX73TKwz1XJRnml5t3BVtRWLGljZuwePM4qh3mZmkTWNcBx8RPdg+HEX90Q
2DUzl6aDEMV0l0MAS4KDjcF97bAO33ZdpvmFF5qXNhq4UIAP2RIu3o1mQeF20ttbwQKbN0x+Ji9+
xmtXbJjv3JqltXejPglCO9sRwE0DYag3rTfed5TAH8QwuR+lyrAoSQN7nOyPMu4DK2+DNKy1T6rS
b7jx4k4vU7rzDCpcttETW/nWrr62bfdexLQ3k/kRnlTQGMPBm/INDxBYxsvWnNTz7A4BN6wd9R2S
1RGWmuFVtXriKcomGzXeP1QA+vkN4wnvrbdQ7bVgtDODtziG59Qani07fs0W6it2m7YHkgngx8fl
pOc62yT9bFd9QC/6ueKvr+3YExSusw4He4O5e9erC3fVdi3yEFmFWlN/FOAp20LdI/RJAm1m0e04
N/we7yz818EUL4IcSogab1DjM3dVZGChfttlRXse6+4o9IkPc6dts3qiPBXybnTz+ejxTaSWAO29
JpiQcbpsGs2pfFKWzk+5qvS6uC3q6gT81B9070Sd4jbySMGwmdNDZhJCTPgE6NEn0Vj5fQO2RzTq
JVXSL2WqfakYBsRteiRef0h67XYZtSDDI1hm2ZkbtF9n9Xyka8VZjEOCyzylTp1dLxEGDWPwiAv1
vIwHt1zmfb0UxQGvK7fe0MGvAHRoFqjOrclIt7VXbUOy4HfLrNSbv37y/gFWW3MhOFqupbL6Nfjv
n5+80awxAQLufylrGAxD5pEdHOaUUd6QnbrcGANnQHJZRjmnpuVdq+r2tq5T9ZMLqGnF6OGub5KT
OoVB6jlP6tRt4fN/0NoSTM/AFImEmjzJoU258JnOQiwCIWHbkQPpyqxB1Dput8NE94qdt/fjpH3U
GZysB60DGcFcCYa8DyupZblYpSRvwmKrJSQbzeEm08ttmztfqdnd905y6JnDLm12qHuUOVV5clvd
23bjjHhsjnf6FFl+y5LBDmm6RmayJcbqBK3a3plzr/lVZB/UyOP7GtDiKew0mufN9JDErDA8m2iT
PlPki9l21rZc9cTpeaiWS9Qm+3QEkkX3M4gzivSS99O72DBzgBmwTNeWqE5MCwe6Xfo1pk+ImmbH
e61Z8VUuvNdaRg7NNU2yO9Nh3TkUQxbYmFF8o+Kw1zQ3VHyGIF8IwzVN8mDOVEXFFL94qnOM6RcR
H6p8l3BXmtZSCLrVqhwwr/ac5JRwDNu3PXM38hwy2vJr6TkntVYHdmvK11DDbVJBOCFkgsQlyzXK
K/JZ1p1ix/6sq3hJVO73KAuf51zX/KSdU0DF4moslkaYmRqLWSUuuKOkfywNYzyCsGsYxY/5/q8/
qj8Hj/mrIBlughJ0sIcAi/F+d0RIqOgAJs5xc/ZxYCQHRu9/E6SV6ej/HEL4KZGeUDVwPRxorutK
EOqPhxDDhiLvekJcMjtZKfaVuc4uru6aMeGTkPmxXW+8ZP3XvysuoH/zq8rf9w8HrL5Ku8o0FOWs
zsU9AHyCmPwP3oqfud3Nqwgeod+51pMdGtAgaK4xsWFfDUzJV3XCvkWzfC4V5xR3puq3ebTJvFF7
dSMax7maPNgsYAORzkcnM59tdvEwKQwbdNpSlOt+cYq1Wyl1oFEc851invf95BivZZGg7OGuR7Ux
fsv4rK5r1Y4CnsAzqxFb9blS3/cmfUGehw+ksvR9LoybaO6+Enja8VL61DbNxm7HdqVbyc5QI4UQ
JScU+mDFls2k6tcIYoNmtLhCxdOdHhVg6WOgZYYAEuPNRz70H3U70nOp4n1jKjsij5+mJXky1fRg
sf3nvsxhLQ4NIMpdjAe1t/bpkhxJPQbFHOoBS1WVF0zKU1Z9GuSANU7ysxtN26IZ10O48AlmGd+J
nF1RFZRJ7qI8SdygycIzrWhfBiy0ksqoK6Z7kK0c4CrlU9+hJ8f4o/qL022VKobN05cvtiywq/lt
DUkWBnK3arUDVSmF6zNFW4JzQaVpD8Uc7aaQRcHQ9JeKMgRLeWvPve4dIgiwjdhlrG1uRWWeHPq7
f/Nx+7vPuDyI//BpG8kkDTpquHNyKm7ERdmQ8Hgct8ve2tknqreR/wa7hgDeufgyHv/6F5ekpz/4
BgO3SWCJ8pAnv7gffnFQsm6Roko7ExhYFSfdrzbEDbSj8uRsIH09XBX/9DSsEyLCL/xHdplP6uoQ
b8KLUa3yv/lqfr7YfP9uN1iCUpmxuUZZv4s6zerIUFZLokuk3qD/W8XqUzN8v/r+aaHl52fW//01
5Jrzh9/w0uS9EkVZxMv1XTQ7b7796z/RP/w9gMWA48ocjRHXzz9/PtkLAdOal7dyU3t8P1icOb8/
of5N9Jl/OfW8L7OX4g/EA/JH/Tr1BPhJ/U1DDmf/Gsv7Lcyn/4LRii25Sc/k+6r815u7+4tM8FlQ
Ubjzcgnhu+DXMJ/7i2pwB5NMEl1CUP4RHltzf/5mJ83Hul5CflnkA00BuPLzx8N086Qxe32+ugwl
bxyU93cxmuDPZWbqB7iBvNOhUW/cblDP41yFqwFuNHP8YXl0vLG7j9Qy2y4LfAab3c7aUToyqnEd
rXlSXbIs8s6DoYUnyyIra7DRhnSEpiPol46CeFlNO8X1DpO+sCXuIi4cgLQJzqjFNinGUGbciTRX
7fQljyJxKGuJyeC8FOiFKneSbgWEYn70dIgGmfEyh7lz6FHObLpSGY9FWoIi4l4LZ8oLfZoG1xTC
A5TQNPU9m4B6BC6f+o/UYRlwEsH3djq44YT+rDaat12RB/WyCBmGe44mEZKGYz6XVoekXDw6uUW6
1xdv9DvT0W+EJj6r6Qx7yGg2ZlXcWmWtrmO1U7adLZbDInrjALbLWWeoGtAqtHteyF7AG8/cpllh
rgfQbTtbg7sVWyI91DlUy7AcbpcGf0CVQUykbLHgcbKoO5Ns0oV3SQzIXMPMn47Cg+QuHisjyGNN
u7at7gJBHqt9HbUHQolf6spBPJkR7dJdO1lrokLeVnO3CQf+wpRRa8BJpuomtLUdIHQ4cI3wJ2vY
5l0ayqRQ9UKxKzlPnflOmJEck8puikSBG6CH8TnP39uGc5s7JNLTadrqQ/aoJ2PngXbo4lWjZ9eh
1m5Knf65aOF8GfG+UtQtw3KunjXSUoaoK2Yl1YpQkDi3rVVx4MiPraG9W5aUF9jj/RAxyWgZAkvo
F0PlXL06wtsVebkdDOuUTN65GtVtpPUkozKBKi+0b+YQNqiIr/lC9B258cYDaLNarPlsMdcgK/LA
xIlC/mQe7ZAQ9tKHX3K9eTVGrSZx4L4xnsZ8Mz/UHgPvKazgtlTob7j4z/mlTi1gzxTJ+jeUHY3P
JQqcCWRPHM5FxXcF1reTZtdEu/o5Kw+VBwrIwVx2YtUa77898P99GEtJwJ+voM4vzR8Fq+UP+u1Z
LBtYJG554DFLpcHxQ6KJBhYPW8hRnuwU/i5Yrav0sgD6enLI+UOiyfnF1UzcxcwlbWTD/KN/sIGi
TsWz9j+XC/ksRikO/5ktFF8FP+HPz2KXQa1tK+pyNfLosTaI3GSc8ymG4/fTlnzj1vZWY49pzXCK
Ju8RAyAVjh6UQu7ZnxLXPBtlt8+TZF0PbtgGjpPTO4kZTTxkpYcqRldvhVI0+45dvBeAcFVeYd2x
aCk0Gu9HJ4T2g6IPHImdOcmu7Rhx5IBjb1WKHHg17fsxlQfdYb56Fh6ZqTCCKlrSVT2Vn+ZZeSyt
4sEglbNSdWIBakPERZmvUeweNMcI5giX5mKAlivGlUjUuyrRb9hMP+pDW4AfYLkbdvLK3KREV4qP
ucGlEunaJjQpougNVw1Ln67Q6V7qjLyKRWw8AC73tR7zJehU5j8e7X2hdtC0ykjbpJh9gMYq5rwf
p1LxqbwcNbLJBmnLXouOS+/42CEcKjsRAybIy81QPUWq96yYDuDDzLhNQS13Vv6YxnhLmmR56MBA
DL1WAZYZiSuUH5C6OKfHdx7mTQau+akS+V7L58e07Y9KOXyoDakoYEyQbw2DcCcO1pWigCswsnRX
t0rlG5HtQ8kjWKxzvLc4A191Fm2sZSBWDt2YraKSl4zUOZe0/Vc5y7W1m6YEjaeKB5zqvEWzOBQG
La1O4inaibGjq7M0N3Z931zDDD2WwcUMUU9T08e37T7fdlZGpg1e8p6Xn8/T9txNAA2NkiQ+StKN
qYavKZFaUA/KSiKDk2J6AT+Qrvg5/TLzmGTh4xsj+jaRobyojUj8ZoCqoqVMZujZoUpzz/QbyR+r
bb/R+8g+ZaMB3Llo7qOWuajeAYDSdCHDxV4SLGCEyOEufmtnJkkIJ3AJjG0ZdHSbjM//pWeK7yjm
nrfnI9uNndrrj+PQaSTvWzXoWl3jIqAnJzavJIww6KwjC7FrOCQKGOXE9A1TCbczBelLNRmEq3UZ
kUoHnLYVl0dxyFN401Otv3AngHJRzPHVARfke1iIZjff9F1LmB7to2+NxevcAmMY4s+lgN3sdela
RPx9JrQVrqYpERP59oeH2s33p8FfYBUsNOo8bQhj41ORCpXfndcqY8LRrXjaNcsfUvOrZQV/O0X5
3Y1B/hIegU/KqjwjVSZ/Pz+G5kpMbUK/4Jq2r316M1efiv8FBvz7jpJN8b94R703b+9f/++qT/6o
315S6i8qwhxa7RYDpm9ZiN8uDNov1FswkpHHlbZpxlu/XhjYD8I/5hKBH8Dzvr3afr0wELvlI+PQ
7DVM8hfeP7owkNX9/UtKQph1aot8+nSWkr+7ExuKDuqoTtOrppJVP3Cwq/AewzRSiNJRNFnndpPP
fl8nNZauNOjZqnHJ3U37vRom20LmLZnXJJ37GM1Ttari4RN3neaoTlkZfQ5lBMvuaH7OrAH9/Fs+
KyWgSCxhV+kWMzZSXGU6XyclG2Dt6S+hAwKdtfyxIvlV2BOzIrJgEysqtPfLpnenR3KyX21SY5VR
8hMg5dqJyeIx7iIdbr1bcKMfQwmeB5y9ZAkSRKtguD+EZNNwgi1gJmY2ApN2dcmvjTmncVtG2sAu
86xo3N1gk6rI03EX2vqzKYNwYzn3iGd5C5ZlPax5eiS7ysjZL7Eog0EVknWro899WndBAQNnK3BL
rpZKhQDEbJ+DPprc1Wh30Y7npFCxBPMKXSEeZH+YKdmOiwT1IDNBm6Bp2ZHmtrhzOmd6sgcURyUo
Jt4CsXWNyWPDH4q1yzybh3oy9ZuoKNE7trAF7ZrhVMNEfROVuRaR6eCX1hP3KfTqbkfLgIhZREpg
BsOz4uUQtodEa4C5woU7ulVjLqscTrzgayjq+GA6iq3t6WMo6UaX3K/ZSbVXrTa48PUKR/wkOUcD
h+AQU2bHqyaiRwpReNmoVg6kzmtGf5pLCtZN+k5U+4lWy6lUyfDmzrjNiOj54BTOjaecYYjxQcrj
wKqyuykqDpXePOtKekpGlpS1nn8yRASejqO7SRJOF84FXy+hw6hzUoLNM4g6+tgG3WArSpYzl3Ea
L1j10gr6pmEO4T6do32fh6xNQ5KhEwW7db6It2UaEbVguCVcDbeopF7KKLKIfOrwb5ZKfhSMTOpz
qWkDI5rWvYZgQBaepm4KkL9YoHkH4InU2qRL/NLZYw4p2CLlKPKY9Jogpcq/Sfl4FWne2pmriKuO
jLZbXuq7izls5ygeAnVSL46FjCptiATPFXs2Ve2O/5+9M1mO28ii6BfBASQS07ZQI4tkFedhg6BI
CvM84+v7gGrJJC1Lob033Q7LFFgFIPPle/eeC7Csc9naxSqEtIY4Rzyag4Z2fcyv+jnYxhlJs4TN
bS1KzjIOQtAF0TwOMnHrNfX8F9htMykNmWQ0MuBQomNrULCNnVhpKhVTW4/pKtfmCKi8d7DEiIWq
SX+ZqVWDaR87FJIeP+fkHkZWHp9kdZNf/3fGedOLzK3/X+wfnHGKvH76yQ7Cz33fQTBu6DMwAiUd
p503k+iPHUT9S3cMSIfz8Wd2gr7bQLjH8AK/J1qy7H/fQCwkeDpHIkQXkj4GRos/OOW8Ufk/nnLo
eTJHwViiI1yhwvhYXpDcEAtrEsEhVXFVnwUc/h8HTQ3snVEBvT7SuTFOprY0H81A9nRElYxOTT8o
/UM1WfWtE8j8ynFCY3Ijve3ztZ5ZzV2ttxoSaHwUKzOIMLKHyu0gKF4HH1tmIkQMFdE82uQQtr52
aDvz2k/Gp96fnkSAKYnpglnb6Yr0wo1I0pACHOuBFpurofOWrVKd0NoHqlhj02caXru+Oj7FJVbB
socbwKS4ppdPP2Jk5klzyV4nGSxCJbMIRm+dnfSratH13rZIzUvZGZcpbMhlrDOa9Ibzya4Ay3Wc
a7LyqtDFY2BHsAk9zhpZFrULlH/Txg6d1EVIwXhSGpeRaZ12dn0vUoJ/zSw5Tat83wYxinePxo+s
LXI+Kx8EQV/YbjHFl11Z3JRyKs70qssXU4beuJpJEGzX9aKXMzwggdPQ6KgphsxPTjM0Z5NV3Osm
VrVaU4tlq1avU12N+FLnJO+63SZ1tFHJz9AQihcW6DIi5l0pG3hvQqxR4QJYgPPKL6X1rg9ffxtm
/JPshnaROfltFsQvKIIvbBksMdc9a3FwbeYAFJsmkqee4e2AHFyEBR6XzrACF9AIBFMiJX2EUpxB
5GVgmtew4TCLGNaLmWf7CZ1JMdrM+VUbYQFRBAsMDxGxLsMedyabeQ9lIs82Sagwvp8ZxA24fKgH
t5FZM1YFqrpGNL4yC7hvholnuOcUGaj2WpZWd97OfhRrrG1Q8nLXgEe/RQ8yACZvL6aOs5ChB+fZ
hNWyVFSsNWN7U43RF6+D6GkG9IDYH9ZWZd+xo9xbnu8KDrRJyqo5zL+G2l0qo70uvemQxCG2BLF2
vCMPa34uu/Y0ceIjFN3H0MQCkcUTrK0B3CDw1IagvnHfmDx2mhGd5oJgn3lzChT7TrEwAzVGH7pa
NHiuUoVriHjnRpEedKfaUzgeuxo7RjMTOHxLrhW9fJSKsgwMcZM2CR7q3DopOvMwzmBmSAx7xWHm
35U0H7z6GlTFF1MZziqzfRVeel031k6zgF93MdE0gUWYWeLU1D3cB+SDLwkG3IOY0E7aQwKxIDMP
fHhqrz64LyuQMZqaHoSnHZlzrem5fVEUz7VzhxyNALBBqqfHhhwY1OW0LdImuwtMZhscu8QCsG+y
V5K2cI0Zn+zhs8dVnD4hxoxXzZhcaJBpEyUHr8XMkuGp3Dr2dJpkzVmrxeiI5ENvpk90I04mg4v2
4iICpZnggw4gVNeJupG63OoFPMzQI+yI3tAikyBBxxhKoZjzbjUAMEZwgvFT34dzwVS/1U7DXEaN
U9aRC0Rp5cxFlka11c5ll/9WgZVzMVYmarNBc8EIfy7VirloG6jeGORo58Fc0HHPjUM2F3nGXO6Z
c+E3zSVgNReD0VwWNnwFq34uFbW5aCze6kf/rZbs5rKyeaswGakm1A6UnUpEAfrfNv22TRtM8f59
m77FVtn+zF45/9iPXdrmyCYEggL8hggXGIR+36XZwA3LQWdgoEJXpUmf8vs5T/7lqJzz2DhBMKBy
eNeM1P8SmhR0Bdj8tbc/+oNt+mMPgFYkBydCkgybGawxV38fN+lBVfyuqrL2nIhRd+5b+xBoQjv9
9oD86/BTe0Mbfuh5Olg4Sdamn8GgVf3c89SSpitN8irO1dZwbuKgVEwSU1AAbjkdo/3T33SA5DdO
V5GIkXvPMkEUp/5DkUf2CYpqZ69ZKefIb8pC1n79TW1ovikPuzcVYvemSOy9EtxNpBHQ1ckuRKmp
JIc+SgipCYsiF6u8T0Bd24pPzR/WXnaPr9pZGXT0sUNmz0Yi+3NrzjeVrVokLmKjBMaQN+huwqFG
SWpU01bY5/pB7TQjPu2S6FABUllAehvcwDlSZb0adfGSlf7aq9Vri1isDDC9oZiEr6l8CoQCK0cC
p0lxW6U7b4QSoMccc+oK6dhYfg3s4HIqYJqK4murd1cJMV6rXlbRg0WrEpF+3J4pVlEBBDDMkyRk
GIJ7fjVNol5As9W/yqjOttLD7p01ZbFKO7JqwkQxVqK3z3Ti+eqMBtckUAD6eO83TWbdjJpyn8Db
p/sYYCdvGh/sVKujVWU9SVfCVsMV0DP+igYeNeGyN5WkjFiadhZc1n6nrFqmHStnUId7osdHvkVB
olcdY4qXSjUuI2O6LM3GxjoHLOPdu/eTjpngJftYcIJKwSOszRppWnUG78z7CTv5AshCB7s6r1fs
Atj7rqYrFHSL0uWIu/W0BfrGVbqxVkwukTXItb4SW8/9/2L4r8+68RNpA7NWGvzG3GJDqvTx90AJ
3Lc+6TvnnvBPEA4PbuwDCSt6yczRglRVkoG0roSJLgxg35lvVd6Jxj0CUZ+6ozWeOx5TT1tMj+CT
nXXNRrtummLt2dMj+SvGgoAD5MjTcFcmBarGqsRSWUf6cugRUmpBlC4MDqSjDrpdy9zIA2UgbVzP
hgM0jS1LiA1TCZAcDfrO0JH0xbNtRAh6ToNmkdNw6Hv/VHgcG2MqqeWsK0vTqF7yEp/3A2iw0o9i
bHP+jQ/nStPTs3agEIOtsVGRptLiLeW6VaOrX9/iWdf19yLCecLBOIQXiPXSRAXvfBqcOJPonSL1
qnO1S6MNCwFNjErNXFSVKzKeJCpCn0PVjxX9Z0/Vx2HNP6/56W4qQ2dVXezX56WvPxhe5Q4tkYZT
bW1l2p7lBMEvfJPqyypL10ggbBgyGxHT4lC0FeM0D+17NaxJyayVr14s1wx5zghXvlC96dnwy8eU
CA9AEWXxTdPyX+tV567/uIP/4DPO9KVl+Or/RK4x/+CPXdn8S7Uxbc0dWNViMvFuV7ZQciDu4/Q8
J7HOyqXvu7L+FzsmFDdkFLPFjRbrj8OzQMkBCwG/FMJEY3ad/cGuTN/zw5POr8RfxpwSvQgVADKQ
+c/fqYXCKArqAG79GcsL/C+D9qHfuK1pxCdpyEmPvLhu4sFckE0hMI9mSOnb3Fv6Qeaf6m1kPcXB
bPkuOb+Wj5GVaNqRELUCy0JHxNOi7jLnAGFwOvH1Ngl3pB+Ia6hTirHTahUIiuMozSH1dO8kHk0V
N3ccR9pVaJF7tZ/8KamfIeSY/VmlFyiNihRcEofTVxQG4TLPwjZxW2m3nBkjW1s7pR12l4Q0NjuZ
CJpVOKhj+D3q2JKShmWBtydQ9wIH8r4qS7h/GZE3q2BwSrcqq2bVqmO4N5qRk6I3FS3+Cc95auuM
ECtZeiTn0R+Z3DgL2mMgjDl59BEK/XNk4sSHLpu6hWm8Fk36ingFMW+XlvIFka6Lt8QVpd/vskk1
1k2stI89IXuLTqhh6PYxWmDbQfMJH9S+05SQdJu4956HkIAETMNih2UvOKXRkW5jrbLOrbIddlNR
lBsJG9etuqmhXUxRYNhQjIYKGb3T4bkO6mLJNugiifSWdpPu7dYByuhV1tloGNMulvhNsJrAFAdG
Z4UlyZ2+gOkDK9DN6xZQCl6BwnbgYAXKxu6mbaKROcg4ZwM/h2iNOgXL6FVytnfdywCrYdxPyI5x
gGB8wMAN46GBhHgeo9ZxkaYMxEjPh1tAtqSGFeKg+nF8RY9Gv2SKmL1GqqxO0jLM7qJOViTTlC/Z
2EX/rVrfiCuCauTfV62z1+wlfw6zn6xa8w9+X7WEwOlF/LMtGCp+OxV8P0sIOVNcbI3jBEsQZq8f
q5Zk0MR0D6kBg0zit3QWtO8tP1KlZ0z42wr4R7g4w/xU9VDqGKwPoFrg1rFNf1ZMW8BTbRyqykGj
owxuCiiHnF7JnvAXsZGYlJEqsVfRuhp9FgsQ/NWlU6XKhbA6UoRBpWbWpQ/uwQZ2OsJ4qrXqDrqD
NT4bCh0YM/DShZg5jaREwW4UUNz8uuefOEFtgNVVvF4wHomIH1ZdoTjrCgAkUHz12S9hQpZiKNb5
zInsW4iV3cyObHL+W33mSbaxqB6LN8bkTJucgs446TPrJIoq0jzw0xoB6okaSGUr2i/pIAAjzfxK
RuO4V+exN2jLcWZcprw+tBq6c3vmX6ZV5K+cmYlZjQBZgR7pCJWRA+eYdPTRiVek/0wLMXM1J/wV
ohnqI4U7nZexSR5oo41XmnYXyjoEVxmfh+QRgZpyLhCwZQtIvmejShPUpsnSQ6upQ3hqNmIR2STN
wu5ggFozDbSx+vAkeyOEzqxQeBPqqn4DiFa0HmnNQBXtCgxT3BblIGfmqAFSKmpy3W2IvSpnLmnc
5cPFRANok9UyvhjAl+YFHFNnJpp6b3DTeJrCNc0kyLquniXwgWcMajUDUcFnoVEBKGgvQYxATI2C
gOwXB9nUFcOUYtNFUaGueLCzXVZ1aNFqWKaeqdhnoewxJKDsO4tNfjg708rWu9Da4CEJDEJfMvPJ
rzA59DWzEHQ8D7HW+CuvKb7SsExdIqVPEy9I0fsRloKNBCZ2+jWAHIa6vDmMAGTn7E6LuY6NXDDj
8AnwcFd1pXUiDGQXHVEYQQT+kxznjQz4H6eCjzEYrb2QYy/AZ7VFzy/QiBbqWdX1Qp51ZHSdjLoF
wVZP9KNh1HAnKmTnar0YDN0VdYwGPCK0oyodID08aAfcuOa6Ko1yb0raQUqOFK2aZ6j21G70IHmc
dRKNiuaDJMv6pB9SHQGdr60N6dnnsJnXSuq8CKU+NaP0Im/bG0/Rz+rCEu1CKMX5qITjjmPHzNuZ
toqB3iRlgHStRp63su3XRhn2YYKPRFqnY4Cm0oqCTTmMK5PxKp/5YI/ZqZGmj1On7A0tPE0DyA1h
a3hnmQ2MJTULfd0G/hUDXx81YrIDHLaNS26SHdBV7EO8FJHlLURsP/ltzxtohoehyzsURrT1lKZL
2W9LVzOTHVGzK7uqnlKiSntMVoBTv5pWyNKSrpkPrAsy1NUOWYYvEBhxlA2KaGd1cu+gA2V0jV2i
wU4A3OLGRhBK+/fG7FR7XMRObsKScswTzlNfi1K7BIm4s8i50dN0RXaeznY47A0ldgEAPAWmvoEU
uCL5tSB/knT1OLu0c/HixLzDaUIynDNeSoUst7QszsZyWiuxdAvuMT4YcMjUGxh+3G4iRQyWxTMe
7GuSu/EJxNGOY8KR3LdDalMDEd7lDfnWSonA87l8YqgXaTacj5zvBNawzCOFhXikYFI2tJ23SJHd
tIi2Zj2sFWO2VInw2bRbNwHfqEAojgNrRSwuWWMqwEI132gNzMqo9Y+ChPSw87cDms40V067biSD
M3wqW8Dx8UASS/oVuoPr0Y5AF+d6DdG1yWvutZcDftPIVrejiu6lz+6NEufUROSh5Broi6QnDphq
rurGXDMAgUIyXMrBmWNLxdJJAObmyDZTagiKOJ5AT8H/rq5J+P46Il9nhVtDunLrgOAhG5QzR+kd
gqftMFX3qtbQrLWvTLO4t4P60ieHqk0pRIrXUlUxhw7awtLDdWgW69obl7EvV4E6ur4eXOhVcJZ3
+iWn6a8a+YmcHBcqhM1CVbeK023tWlmrQXIVkbHYGNoNQxIEBoD7TIKGPKXb12q75lU8rx17ren1
ie4RdDaUK58QOQYp9ZLDIMRMKZ77Nr/nrwLthf5zrCXq1oiuihX07pj1T3ReUG0p+6TJd5Ni4ewl
ha0jHiBQ2CSCgmxncF6or0xrI5ruLm2zx4YOwkiGL2cToAbgvsl732a2sVOHlCGP4WCF6+77Sr3L
q+gS9CikmoG+dct356z8rNlajcHTaW2woVxkebIvsK91SnuVhNbWHrwDsMtdJsl98rSzgGPrImvD
dZqMx8KboS89DQz7IqqcU10bHgoTW2KFiE04JCJWJM5W9SGrjUug2erC1uqrFslSVzBQryYmQEZy
mhg+8VilSjqWf1bNC9WU349xsxeVsSmYfbfI+SLCr+t+LnoyUDTZTVWMJ5rI94qQwUHxEKoB6Uiu
aqpadxLNCWkti6knMBuovKJELxCdbqImhRZDeY9qpHmY+xxixl3mwNND7cVMEYg15X1cBTtVaAfW
W+AQVYzist4TBs97mVixO6naQ0APb+3o8XVaNSQMDfEm1rUjiuyIuRjiOqK61/jkt15sur1QiK2b
crfDnk5wl+9qoyA8CctfkB0BU5FKOZwM2fhSKNiZSYpsKgNlAfQo5ipwvDpr1bb+qgoU+hlUCHHT
umnCJgH3ftsp9kvXEbscqhu/s9ahOqwQvrH+1Mho/GFaD2m2Hxt/XzXGNXw49hpAoxl9hyaMXTIu
lZNMSJ512DyIOSot3yVKczYxbK2r4hmPIu7MGrlAMpx1EtVfqrL9vStpf9JK+dhrxlVDhciYGJQw
VgcH6sXHM23TV1UFNFk5kDEV0j7K40sF6M+vL/KpRfT/i5hz8ImktH2TNb0/OCupSvtIUw6D/aUC
+NU+DDnI7GUKa+TXV/pZwYt76ceV5t/k3ZVyj9zYyeNKwj4PJIMXixD0aZebt1H7GObmb+xaP/32
eJtQQzFWQpL18XICfpntJbl/7JTHpt2X/nOWPP/5J6JapljmMjro54+XIJ5vUB1UKMdOkhiwaWGS
JgGdP38TItAVzW8atj/5RMShcGhB4og+wJw7b+++wJl5J0a1CY9hhhlPB17ib4r4N5/pYyPl7aH7
cJFPjZTaUxrD9LgIcViLpjqNnGD562/tdx9j/vP3H6OZGKYC+D/C+DMx38b5tQcv8NcXmecw7zqf
82P94WN8ujVFPMZFl9bhcVD0BeZlJzzKsGaBezCQCdQH0da/ueLPPhasSbpdhokL9rOfLGYIFGaR
Fh6t8gL/h1skO8v7+utP9bNrMA8yMUbxHNC4//jVeYaumHZXRUfC6tETkhmQu31y8+uL/OyrY/iG
8k7XdEt8bhrnfWBZYThE3J+HjKBeToowaReOdxW1ewkzp/cufn3F+Zn6fLPeX/HTzcKmi61fG2Fq
oqfu6jsCX36zGMz5Mu8uMXOwDM2ClCWYEJq8r58WnzqXAJkGLT1Gp8j8d2yeZ/SPVsZFcGm42Spc
266y/vWn+njJb2/S+0/16ZLQUtMBxlB07Ex8vKgYBMhjkW9/fZWff3dIhlR2ToMRysdHwpwQxDaY
lY9e6bgCfKLd/Oa7m7/9z3cH1i1PG9F186Do4xWKWoQQZVG7WRx9R1tQbT6GEr50FP3ms/zsG3t/
pU8LHDL8vEIcER014zWwLwzvqpx+s7z9/BI4+uZQvHk08vHDhFpMKuXkx8csOxgYaIdQLERr/mar
+9krxMP24yqfbn1cdUEz+lwljJ8TBV6BsprzkePWjZujEm8S4zf36B8fiwkxTXapIkfDevM5e0A4
nlWkVp4cm25TVvRkV+V0+YcP2qdL0GZ7v2xnnc8XGpTJsZ+yhab4CDGN33xt/3iW3y4x85GZ1Dv0
2T5eIhqGVEk4aR3r5FmZdsiNfnOBfzzKXIC8P2wCBo037MsfL8DSaTHgm9IjdV7aAjmOdiSFord6
ffuu/pslzXOXf+/KzrOkxWuVPVUvP23Nzj/9vTWryb80nSMuSg4U/fP852+ZB/YxVjNTqnSRQFiz
DHwfKBn8CcoQ/Gb4MEwekr9bs/pfELZmxy57L0r8PxwozV3jd6ueAVUJXpQBQhHKNw449dPj7gB4
KmjaBudKbAscVcD/bAR0O7Nj+esqHeZuUzbUSOaoWJbrx5ORApcr6+hmjOJo5Ux0T86zSsgls0of
ug6czu6CfOl8fGo1qc30oKGc6B8MSRcJuE/0sdEGgNJgIBxbWjntiCOr/HrTEFwTXNkNaNvKwMeE
YAHDMskhU3Sd5kl3IxHqCzeBcnUVaNQhSNWjYF0AwZryJqm3yKLppRitdZtpHGEXY9R0t0Xq2CjK
jWIaXZlN4F+VusxIPi3sox53xYOeltGDYhTGlpFbg8SkS7wDqh3fXiR2FJ5NdUnvJPWmlBiw0PRc
Jxe7zFdTN9WjltBRKz23zKy7TIVJ7DA9Y0kwT9ZtW8UzUKSW9qNAez65TuPkEwf61gTdaIeG5Uac
KS8VDcAP4URpuAXcOj2nQtFJepdjnbmjWhoVOkrHiPBeS72Nc6Lu9YakEm5IvQwHpXtoQlRfq7gD
Bygj+p/ZimqW5JXVJHBrFwuAltAkt45v85+NReVvLLWZOJp30aPuZPWFY9UWPG5TcxZJLYNrBonn
jl4XPWJcvs1jhhpIXfm1CvfV9/K23OHKa72DHYroIU5qcT04bYJt1pwpY32mhslWfQOQMfkHRlYi
Fh9IL6Nj+2r2tv/qzEwzxHEe2fEBsLNw5p7VCgS0VCE6NLbD+p4UtaI6lAp6UpNx2X8r1zcBOUvF
v69cx+Tp+bVidXpLLvyb+z+ngH5fscTbXEhiNSXiZ84c/HvFAmbASgaF0ERhPM/H/16x0JxzUqPl
RyEtNXX2pb0bJqEkk4yhOMwh1PiznMI3DuvfdRqDdpa++aA7+4/EXLx/3NxIBuwkfvv+0GCFIy8D
+F03XoJphpzs+IdUK6NnKPYZeGz9Wm/0yO10xbuyrf6rEqhrwZ65mHQFcBmcYLSihMhbIK3Bh32p
fPrJQ2Kh1G6zS+kk/kaFarDpmc2SAYBHtbC+tHp4ZXbTXUBCKMHsIMZFId0B+hU5O8WJPtvCUwtu
OK/WekrEFdda9o3WLtD/BEvRjuDCGIG7vKFnTezcEH1AflLsv0S1fSbJolblcAiIw8st4pXowF6I
QFXXpDF0ZNh0x0FY+WpucSwsgf2SZpDr+YLZeenqZRvtGAOGi56MFY3Z2JoAwZoGF7iFFsfJSo+9
jRknqHn01NniY7+uHMZeo7NsdX3VFjVOI+wkQN/H3aThl2yywF4QuntrOC9or5eVGDDmpydW19wD
agvdImIKQ9Yc0uXRSxZmh8LFGMbXTs13nWaBnVWY56jBra9hucfu6yY20ehItoG8TttIWMyoGJGT
LOnn1S0rzpe2hUWUx+S+T0uIAm5ZazvIXRdihDbvG+alzTfkhVDclByEdJKcV9K5NEP1SzxMQPhU
R1sgCGOobvU3qZAPEcHHorDw0HYZUptW44g8WHu0t9ekH2QsMOpt2EUJaxcYd927KYbqvGiVvV9B
6qqThMCI4HHolOuCpKohGC4bx1yDfb1vleg5cSgRDRjXblWgaJ4w0KxEXX61xvFKbaH1ltI54zad
9pG1LDHxevKrVoA7EDM8v53WhYV0T0hyHQK69tGcWeNbmymyjEWV5Y96ZrJJ1aMLGftJtj3Pl1ZS
2c35iF2Tn7JhvXg8kU5FZAzKuhn0CgZj3OZm89IpkuNYoF8b2LT8EP49++5RUxEDcEgYlgT9BYuK
nJelEjC4GkmyXBDheRs1fElThgnNCJjyyVRcNmaxQmdFhz+tnBWt2OLEo6N5Ltr8dqgfAJvpvHMP
KR1WoJQAhH1ClMD43+TlOIdRVs7Ogx+GOa0eNjisMDu1vcQqqEWrcWbbhkrx1XgDRoBdaLCZBV40
rpo0LqebDiEXZmXIhzW9fxRTV5mnF/Qwff02lFG+klp7xWkfr+8omRtJIHp9t2QHj+gfOJux6Osl
W629pOGYnBD1bs3iRw2nn/6Qd0ZEk47XLQl4pMlFwNE8oGbApomKLF36tjNc2cVgLvIgOAzB9MJI
dsHY1V6ieFirfbtsY4CSE1TPVQZmkz3MJ8bdOh8kvOMipHFs34VGtg5sw1s0drA2m2YXwrFk+LdM
hvyYhO266BSw+Eq9By6BGLRrTiTCnfMkHjD7mld8uxqsP2iSUXUcyvbGiZ1tpcuMXbn/UpvyNs/1
+1S10L8xLIgSkipKACZrjhi3SP+AVkyohnD7nPde5yzQnvYMg5JTFakM/1aArOOcUDbGQ6GYRLuV
HOj0+Os4lTdFZN0WZXiWVPJLVdPQVlPrYDbOidnmKmqbgKTHskdE2PiKq3raF3WILm2RnXLzyCmK
sIM1sXWTdvhMpkRvsE/bwaqEeGVOilzieZ0IrUBi2vAyjbx61jRTM8UO/Wi3IHPxEoLirhXaiapZ
ewyIp8gHaKnTy4cXZqJ77Mju0MMU76SFvVCmGkqiuHlVAhIScqeM1k3rhIuioFz1HAWOYTtuRYbK
3/eelDE9RXp0o4zg+LVhfCYfJroacXK6Vd9vi1pmi5S5/NLyy+c+x4OvVCqJXWl2E9rmPiiK5xDQ
l8vQMb0esmqrZOKG+WrqegV3I7E88kZidWl7NstGv0OxDOTbbHHCszsUzbMjejQ5acKzVqdtbywS
1Vcq5hgaaD018bMVOvGa4VVTO4Bg8Vec/VcRfauIOFf9e0V0Bs2Q3so/CiJ+6HtBhBzfodZA9Ifb
GSENf/RDXUNBZFgwmQU10Syi+VEQAa6niwSC0ICXyVGOTsb/66E3pD1HN5AiKDyE+mfUEPn5AGeg
nbctk7x15POoEsXHcqjMS8lqEgVHtn7D3pZveHjDOmhwx5Gf+m/s+PgbSL4twHtD8Z0J8yP0uWpN
mCPk+d6cKfRkh21hreveE9zSSEXrmyXKng9dI0NG6KCt/Ik0xaNE+5uSsyGDonOh7Az0lyZjSkI3
qR0PkCnRNzqpSKNJ6gpFvsNwvRpbi/e7ggy1tQgkIXUtMpSFPiDW3ZZ+5UTkM5PzZZZ9Uh18MlNo
++tjb618W81Jl7FNUnGaVnk1wCxs/nv0vz36v2xjnOU/1ZW9b17QoUC8RSNJzJX9/Hh/f/J5KUza
GRg2NNNU3/oa35sXiMfAzOFABUuOGUXSFfx+FCCJ1KQd5ZAABqhgPiX8gRqWcPRPzQteLZs2N2Eh
gFyYSMx//m7EUk+0UlujNc99PZtOS6S5BSoCOyjlUhn8DmLL5LUC2goH8wQ9pWflCKNSwmraMHoT
gqjJmd2GasrY3+cavluDVpGM9Vvc6CtSEAVyqqk3Ehz9DQKJu74lumg5qb4kuSsG5F3sallRODid
YQ4XKGyJcwmU3F9bRqW47ZDdCRW5B/q7LVYKe1HX5I2WHXBVooZSZltKvfZa9TrKxFmVmfC8UwrE
Ub2EPIJXQZs3ba8gHCvdZ6V3qvXD7QjsEog4RsiiSDdtscM8iArALwSxoFHoxhZdjGSwMGDb1Eyt
NwGMHaa71HIo/LCqJAC6lLaOF8XAnJkpQgFFBDMNU2gxu9TDtrtvUCMtyFjep6FqoAUZj3Wejeve
7GDFtg4USnL8XN2ahmXcMPUHTTqtRoPhNU2vFbBoXB2tRsia3b0octiTtgN0B10ZnRTtZRiKHMh4
vQajvg0NdB2plpxGtijcsKpuW4NUq6jsT+uWZnIXYj2fcv2K7NZ1abVi7cWemypEvnmVV+yYefiL
QebnkcgvSWxw6RLvQ4S/AYS2RYetUSOEc2yTL5IqcFEF3bLRUeol8TIJJCylwj+R+FiqwiZ9xoNQ
RHEX4YbN47U9WuSO6c1ZqmC15OAEyBiwt+b7dy3WXKZ6Dok3ox4uFdM/spwBu3Ual/L1pGu7aFGq
1Z2fIxKbYmM/jtpV4w8rk1YYQG5tG2fRpZ91p6GhL2MrbBemOZGGahB2W8Cp2VaxF7jq4BzBA1gg
9fTXPNFqKHngxowsJ6A1azaBjhFUj2/oGN6mUQmYrDwoVCTURrEgfoq11U4i+jvkfVog4ZAQt6r+
oBbE41oYBbs+uRpig5ZWOS7ImgTLYDNKHOuI3DBVBHsgzeTKOxMVfd/fZeyHy0g0d4PX32qyvpY1
JAciSDbIrg9RbZDtiADOaAhIQvdC1lvvtlZcLMtYg9pP/pDetFdeBDYqp1uFysXf+bX0t2VTXrbm
9EDl/FgaOJGHkPRJJwpLMt+l5kq1velCGoJaDHk+N4MTRclPVMt5yvBPc2QqhSty7Yqp5Tqs5DVn
2Y2i58deJf1yCPUrurD20g5UEEeDcu4H8iy0CsXVY9JGwwQ1pZVtCLp/Sv1p2Majv207hNJKYKM7
V/B2gu/IMdxkD1E2Z3fONPxkmOy9o47E0mlIMNSpOg2Jc017sqE8AcKIbAZzYSr9OqnHg6ZJ1FIB
aVRVeY5bmoORF5zAtUpWpja8xqFzGUlSVUydZp+WDCAOp/Frj6mFNgDtB4750mU+hp+7nmHmFoBf
j4RNmL08OkBgCH5XyMorwhGlVm64JKluY394MoMmWzVmlhEm6uBYLc80Rb7GaNogOBHIUs1RYwac
R1ihXysyyPw83I5T/pC9hZORUmbNcWUFuWXqHGBm03akk4GTfRBy55PnspjmwDNNRGca0PORJLSR
RDTyIpAGefs0iXZBU155Qfm1mSPUCAA8HclUM5XiuphD1nScbgt1Dl5z5gi2ag5jI2RlZc3xbBE5
bdkc2Gb1lOAJgCZjDnPrAcCDnulvnTnorc2JhOnm8LcsjB8GOj+8jsM6ngPiCEjJYYMJUPhjcCf6
176isW3NsXLZKPeBmT4MI9+o5qB7wsQGij6/fYtl12vwZJI5nQ+jcIwtZEU64qo6p2KXj1Olfu00
HgYMzNdFxQ2DnqsvjaSpWSKycl2m1rEjFpJwdg0oRq+QCtGdoyEksNlEchwcplQyMpMzSLhT6OIQ
lQj9kwawre7aPEbY6NnDTvbGlSi8+8CCPl4l4Wvao7zyZI/Xm0HVto67Gz2jjYxWY0LcWHUI1P6r
kt6qJIOS+t8PCNdgBcNm/OcRYf6x70cEBPjM26GczMws4A40Rr8XSkL/yxT6t9mP4BTw/yqJUwCD
HebMeHYhMzk2tdX3KonzBkNOhjwcNmx1brP+QZXEYOJzlUSN5rDOCIf/41fhSu+rJIXZg1mW/2Pv
PJbkRtJs/Spjs0cZtDCbuYsAQmVkZKRWG1hKaOUQDuDp7weyWUWWYN+6M8uyXlQzydQB91+c8522
uCy12jSP7Rc18rRUPRaP3aJTHscB5ihpvW/NgIq34ukFn3TDDUSCp/M6DZhu6j5CsV1smhqKNrDx
POhN50LtuOKVlBgVWK4msFJvQNg5xRu9tnski+CjlRCGHYti/IbVqQX+rdgAPi1Pvpu1Uq1jrrLe
A5xRuclhNGdi3glhVWD2CLWygio2AOh3JCd2IX/nTIJQZ4T+ohevA1C4ucimLVu2V2XUNjFj1pUz
RjvH6SAwZOyXspjDopFPxH/e5bj//TTTbgyre4zwgG2ZRrpbeO/2KWIpzwiJWWhvZWKtTdGL48yE
B1hMH1zgtUminyoTDEU86zeMIJpV3CdXo66eFar1YXbF1hBIOAkeNEmE8IWi+KOrH5iu8q+9XaGK
RybH+2rsCU7OoseqtR+99NWQVaCaxlvreW9Cb09iTh6sanzLTLcI2NfNAVDIS4Uvlp2Y3BUxA7y0
U8rVrPQRxIHkpk2Mi75WLmajCX3ogAh1ddKprMYt9qlGp2Vp4DSkal4uyu5DAwFgZSlAD8kOO6Sx
HW1Tpbc3TZQDB+xVqB7jHZiTMwjpRLs4HWB06hgk86d6Mj1/yhp3L+pS54CXOIzSKhBJH/v1lLvb
zIlFkKrFsLaHcFxbPYYILedvnUnfiUjeh67Dyqe/tNX+pJLJ6LPeabaCCdaIIGyFtWivg75dEW+J
W0HOFCSq2BcKTnChA+7jQQt9WQ0H9qkXOAXYKnbiNVXENVHdlzJS91HqjL6tp1tmgpArgDtoY7nK
ZvuuozZSi+ie2K8P9E2Kn80wpGgfTEwbpLy4/fxYpk0dRDqDTad+UHrUU3kr7xQP0STvyp4xV5q1
MWQ3k6JPa2bw3Hla9Vm0SuEnVX00J++UmTgtumnE1VtJEkMHuR7dsToRThrxrAgXzWmChJrZnez6
fpUZYnzpQlJY1ZapkCEwwhlZ+tAzbcqTO6PTcl6BCXE2sGhNGCC+24HtAquEXVmKejdqeugblXqg
uj2aJQOlIk2MgGb9CidWvJ7KZg4cvbhIlnYGj4ANA83AsRrNi7D8JRsbAscM9cY0zpTpM1OxlSmR
uGZOuzamMQ1i9OKuWd0TxfeJNCNF02h+ill98lqP2WF+UTPp1m3NWVmtEq/tKQZzUTTXcd++5EQE
sIohymc+M3sv94XGkpjXXrpyW9MX7vSpt+I5UvqDrLqrvFaOxDOC1ii7YM7Go+ENo0/Xwuy3XDwP
TNFWvRcza++6z3rpAfJR6kxQnRdSJZ7xTYK/rBTS4qqxIfXCtc+6njqyxS7k56n5yKkL+GwSEORz
+60jfhCogJ4EHMiHVhEj9qG+38TzcNaFxgCcJbq24/ElBclMUY5Tt2vanChhmJOt2exs9GlNnMCQ
icebzmr6BQu9zsdYUvACGStLS/DQVTwSrs30NEnX1RheVMvawezD0XeU6AYOGKYZ74akoJ0xEmll
l4sXb8qvw7q+iCKt2USdmz8KSVkcSrKHaL9ZLS8PtpU+ICLACTXIbMOxajKEjF/HkqlJbxI2Kssz
DvTryayGXYNWK+ACuKpN0u2YbgeDRUpgrNKbDa1B4pyNStEtz+LQNv2syc/JLbpKsC6zaqfbImQE
R5bQ1uCBeN9huLFYV+zmsn9tKzhFXi1wcZR67Ntpo/jMiz49U+O+iEWydT0ytafq1TZ4tpucKtYs
lm3QSEADXVd5oTLaXomqeWS3H/qdSxdUTIzcwW/CeiObJqg4s626VIlJVgGCdtUrI90HhuWmL0MA
LDDMqYfo4rjuhC8NI1t1oxptQCbyMx0Se0/8CItws1hNsZnx0GAV783hDln9leROhHnG9iWxWtYe
jhXhmJh4ueHOx4nD29x8SM5rZZYB5L3jRHexBO0BNlKlXCmZfYcXdbu00VZlXaZR/TGy21+1ZvrI
LIylnFCWGJXyHBpGA7ttPnL/owVwyiWUfN+RDumbk96vM4ZejzBu833L6B0/VxPkpfGgTOapS7p3
2eQwgdI7LnuVRpe5Gff/vk2iE5bQW2/OdoZCeehAUl3lfYUQwgRNSD9PegcDksEE2iqWHHLHeUsA
4wawoyK/IQB8M1XutRYWzdqyYrA281iuGTIkPCt9uFfF9GIrvBg60qxIknEZdZPL6IbKWRJFLxTM
xIiAIBjTels1Fe/v1JekBGsryD3RWtGstxqcAAzV5MlUaXTSxr5Ue/u+Mu1tWOfjbo6Mz1Rl7GcM
LEx1XQCSH0uWJU7e4wpiZKEir14jQGV9lUzeqpm1J7sdLjwTVhJgDAyxTDaCeDKiIHUmSRBt+qIy
W8kSGWNaC0ldGpgODOwO4FeSMmJCDTOs1Ccwc5dG2F9ZynDfddhqG33JxCXYZW17Lh4CcFEsLMRm
QFTD7H8YggoTSZWhFJsU+4EwH20VRYg+ika5jYW8E55XrcrE80GLnGNdJEeyR7gYtVXDvi++6WwG
E2He7fuI2MlCZRlc9rCeAPQZbbfwhZXeb2yeJ2PoNmOk5IGelXuFymnRvqjYC9pXeMPLTpjHHq2N
2qa7xlalPzfJh2RAq9T2p60qt4rhcgkUzuBnXvbpkAIT6Ln+Nkzi4HGTrybHemsHZ4vWRQRlpJ2R
TFwG3ozme7Szh6goyMUche67ve2nhIpF4SuswnMKA3PlmrSdWp+e1ZYgJqlP0wtyZ/ZhQ//sutlT
hLwGEFl6q0EcW7FYvXZAVmOcq/amJx9Gai6cnHPNpqwq1w3xSv5koSdh88e3g/EQK6MgCLsyD25T
QXGbCKJzmBrx3H0Sa1Asjp1xHWXGhvnWYz3w6MZCu2JvIrD1GUfDTrp1aUFw67P6xk74HVlMMSkv
R85pUR5HU5QbYRM57nZvZCK1vpZ0D82IRbHo1Tum22fjlN/qjP0C2XKkOurrMDDDIPnQWHk4KUn1
6s9rElxLdXRX6gTywavVildt+uFRG0NJjpeB28dciDNymnDbiXmv62BmWFGSYn9XD+wzW6o8J+Po
Y4rZA42RpIXmCV9k72zVUXzaMSWdU41shKn5hlTzkzx97LFHhmEYxFn5ErrZa9r1J9NsgAJ0WhAV
4yYcSm5Ko9lh9YGXqa1Hi6Y9bKqbsSXu0PT2nqUA9E8vu9nwJ6SwrIKx2oeLMmI4F2O175N6sZ4N
+lmbagwYIkfPrvJyth+nKrHdi0axBt5gIQYmitBmvIfV8Z8e9OukHr3MX/egFy/1yx8b0MXq8V0D
ipTPtFDHIv1GNP9dA6qTHYornPZUXfwUSH1+m9Sz0wIn4SDz4cpxeK9vPaj7C5Idj78x/oXC+Ds9
qLGIhn6QGSLaQVFtLnBihv8oDn/sQQX3sWmRKnSqF3mMpndc9EuSQk2kgpY223DhtLL0D8K6f1UJ
X0jsEbY9cQytFeZUUsqdNzSBugQ2zPibLNyeOgcnU7/kZCf5ZgrdS9akPA1spNYNTsKMIAhJIERF
MIRLQESf6qd0SYxwyWn2RcQD2NnyxrbIlegImFDskuhhD6PGkj3hLE2qsuRRuARTTDrTH2h+24IW
TrWk49eEWDi1cdkSamEBQV71ohzwwBF5kdnTNhwzQros7yonFCOSmV9azB4nC1N2lJOcMRGhIZcs
jXlJ1Si/5GsQtDEviRtGT5tga7tiyeKgUBZBmNOAdx41DwbQ+qwHwbDWa1muelRSAdAszgALmkb+
GhF81uEJgXjYbvtGYPKqiLEbZyZhjkqSpcx2UDbXY9R5yGriQJi5tief82CoHHGaYnHuTx5JcWy3
w8w5lxmZhp60bxotsQGgi85XiLYHrS7Mk5vb+1IyXyMNBexha+V7sNEXNvR3oyw7v+3C5zZyb1P6
132iGDtzCj9Qd7NLx6fnejbLbvQelOpgKBXT3FVx2EKlLdTbyWWA5YzWvijLMTCj+hqw3Q6buOPH
FiqtCFWmX0HpQj490GSqCA/r1KNtYLszx8m0bkIGm/SSb0IrcTQ2GlRcZdavvUZz2VdmgOEJq1fg
/wcKyGcKZWQvIAT1Aj95WO5tslZ2bB+lLxU329euFYyLSGkwTcJHdSfddlSPzU60UYW8jAHDmWbH
75FS1WuX5u5srmNwi7nYw5+6bVWCvCkqdqZSdz7SsXUb99Z6cMvAHcrqULpikVV9VogHVuYswWEP
j3U7MQyek/teb0CSsSDzh7B+hNSorp12Pu/L8bwo1KWLSq9I1BmATUfEGVpHJuI8Esp9JzXVp49G
ZgViwI7Mk4MMqIe9YiXsRjDsVyt4zVvWVue5zVxF9brnuQ5Pg5rdeWOMyggEZ6Q3rAmmjp2M1iRr
kVbtJolLwgWzI1URkrkoXoPGOZa5t+sWwol0lPckTO4qZQI1o0TxKtXVdyOp74fMDZSIXGoB0uJl
EBZlofKEpI9WpoNANjJN1SY7u7Iz85mr5NBqzrszt4fJqi9mjdF0MqOUqKzTWFX6sRTFNlcbGjLH
PhhIdkg/BDilx9dDpNJbJ9Oz7txmytqc3EOdJBtvIDYsjBPhl7VymwwOQa9ZfgVRQmF7IBC+oDQh
1paR/3wZWxALaK4CgzCigtZNUezdvOAlkCfjMxdYI5mdoxryjgip8JlnJ3bjMG74resYRwemUdus
mJ89mwKuoymx2dFbWO1zJY2QozXnvZz3Xp28whQgyVHTAreQHlj09KbLrVdPYBDuR2LVy8a5j5Su
9LUi5CGmclkZcQdFnLNw5c35uG2/hNH8c+N+vXGZ0f71jXsSL+Ry/8mdy3t9u3MJ5WaYr/PRiFbT
vuD4vw19CeXWFheWRfq2ZaHM+e3ONYjrRraPG4D5LqFC/NW3O9f4BWSzvWCbQT9yVet/5879M1YU
g2XMTKjnkado7jIX/m473tikVEhHDY/C0+K1MeeZh1wDlJLCvOdQOi0zFWVBLZlpfJaE0xPty+zX
TvpmDAR3gviRDsDanGleY6joSmtYdGOa8Lpln17dR2Ig5BTsTEv/Hk9cl2CGdJSnhngxSXH96Ho1
FBu9tIjrbTkUSpJqynBMN0xO02aNYl/3fPRkwwZRJNwFVq0epxFbry9R2VlSE5udLgnaoxCfCvmK
RMdQtVpJOJAL472HLmWqvSw0FYOzH+YFEcdTxGafqO6810410d2tpXLLyivNmM9jor1xKZ2bVb7X
iPweExh4li3gkHD1QVAa+kBHAX9e05CqtXKZIgO7rkP30C154vaSLB55rXZethW51IrM1pOdsiqu
FVSGTX8au/akZNT/MmIONZkoAqtKrmPEBWjr7Y5wkMSYxGdmdDdJrt5Q1BWWP5DJdak02Xw0TJaH
Tb2Jajt+RMXsO9CgQiCLuK+B8BpVTOtGygpi1mitVy6jsD7wJqO4UWxLbmq36VZOA1BBcC6ypaS0
h7EzLmLFcHbsQNfK+DREcKiTmnmNwQa+G5Xq2kZx5kE6Rv4gGMADkqp1aqlEOWqzsRlsDcB8X5t3
rUcAdoysUzDu3VBwJau8LmDfzYLwAqeGhNdTWGkKxcqq1KPWbyeRftXr/DVJ8YdiEisND9xiAqRA
ICuVwvbHFzYRoVLNvJYeU43rjZFL/YVQUdeXAHj/5eb+x+K06Ob/+vy7ToYP0Sbvf3IELu/46xFo
/mKyUCKVRDVtfiW/dR0cjkQe6oSFcP58dRF86zogUnFYcszRDYDG+/EExLUG2JWX/b+QVH9j8/XF
wfu9UwBYns0BjP7OZgUHGPLH10mslzAtegNdTdU0tXOuMM2jn/dMtS3UwDPT7OT1upEFsR0ybUoW
KbaGRsNBxApeGTxMfuqrRlnJYlT2llUaxz5TpoChS3koQq+4QY8uT/1o1ufsEKs3WHzyTC9kdmNq
Eqp2lXql343OR6gnFLewNjcEUy9htrCqnhH1qx4iX1baQtbIRvJtpmuwV/PSeh145j4VI5mv9dZO
esAfBKeUE6sA1fV41OwmGPVUR+aesnmIybQoij681XH+XLMNwkelphZ4SkQCi8OKWhS3lfhqvdKc
khXHyuyZleirgZuMwdH0xbEFcWW4EkJzJUX9YurCpIC/C65Kui6spEnvlHRxgDVDhhts1G12RFIs
LjFrMYyxbDf25mIim3GDBM4MIh1Sh9vVJJgt94A6CM86DMsVQX46t0WxXBwIJblDlGa5T6akNAwC
msjMnmI2qEE1m9ezxmhqpy/XUsX91KV5fFaTdswAFezX3m0WjiChvNpmElbJACPmhSmPhZdPpfKP
WvArio4o0Z+cCDfJB1SlP1ZEy3t9Ow6+WIewO3o8c/qSYPrbeYB1SF1o0pA+OC8WE9CvUwjvF1yO
iFawIXrLcfDDJpwPoi+H/TI9WGYXf+M8QH/4w8WBdYj4CgfBLkcWbiQEuD8eCLMRF7FeJeqJ2FUY
u8Wcort5rqJ3nkNY79xqdnmeuCjkEunp57Lm7QJ/iq2Vp55b2Xaj67zvn9t29tEJUnFn8WMJpobT
5dooXVjL3L+t86TZJlaCkcfAyQ6d5bSriEUyGsMeZ0l5yxgCeaun5n7TkA4D5uyJpyFAYXywJh40
rXmZSTrV0vmRgWPjY7A/i60SgHLqsLVMdm3Pii4t50ctcnaS+9g3cVyPTvyUokif3ercS5tHTkc0
ipb+qcjyAYj3faZBqzN7a0OCzmZ25svEywA5N/W29tLelwS6uQnWB4MRIowjue+QOHHisZgtgek1
yka0CAWmwr1vpD6u6m5y9hCnNFgJ5iFV8wo+iLLDbcBODUMVDshpW5njXtcG6kL7Wtb9NW2kuMut
6SWvGXfajXsWxeoDYoQDSw+InOp4jLIabFvkKGsrLXfdoKRUGP3BNNs9oE7ifULrbNLe27J8jsL+
bnIt5tcm46TZlc+ZikEkb4xj7pgfhsMIHDbi3Re3KUtwBuLgtTuoXdgiB3utjtMubaet68p1zXKn
b/mZRVFuBnKKUnr2DA+puEAsTQ0dOmlFal5ijQcYgdNqNmu121cukT2d400Bcy2KwaZShbPmxMeP
2bZG573kQyP3aWfpXWBngJlWoyEn0y/oN5HjkXwRxVCCGcIei77BlFYZb2UMglkJTQLKsR6xCSEd
0JBqIOf2jYRS0/ey5nPJi1wRbRpMJUkAzmIViKzs2pnJgXAM50KJWXt1es3HQIVWKfFjPppPpTsC
RhqHm7rPYt8DOR6YjfWe1u2nPo0fcyem1eDk9xFjxRUtxlEdEDZlLWIGcvjW+HOMNcM8dg7sWAwv
25mxeHIzq9sYipmvrdB9mpbtCTV0ihtYvreuLldljlZpKjpyJ5PW9dXUi455hAzvKR/YN5BeOKbv
5tgGVsHrpYxg284HFGvbtKqvyGliFo0LpjZx+NoMOXJ0HcjvBdY0+yFcOLMWb3E1+RDNzRW5DP5k
AryT7VNpWTT8kwIsCkVHEvChxpXKRk+xYwXBZb5SlLilDxlxsEl+4yC5rvupivZZTESkXV7MoobQ
VH9Szgg/NweBCnXKxNs/nfaXTtug7vrrSvOrmX4pj/54tyzv+d3dQh1nYZzQv1SUP94tNmt9tpW/
4pe/1Zr2L9xFGCOIRiD+/DsXhmH/onEL8SYbJNTfBTMbDqL2Hwfcnm7Bjebeo9XWIZ3+eLW0/WSx
/XAVtrpF6udYH5NwedHb5LdqXUUU6bRTWtPw07i4UpmSomrGniGb7EFOXRXkaUdMHuJY2rLUV22b
dGc5hUHTuDJI2vaVGvS+SsfnWm2OE1UW3Zx7zuterE1iB8LauGMkuy001ONRRySaznzKaow3Wjd/
cOzWDw31ylNJApEuqHiRigd1dD5H0x43qaxvCj29c7TFwpbh1+oVZ14XHndIX/dBotVBkSFiZaWN
jrdSNkQy9XR5YisJUViZCCVWbV+cxTNE0YChGXpQhAlKEI7mc50PynSVysEdNoD4JHTKaokEIyJQ
rdEvLtlhHtp1GmVvU2MVh41DwhiyeZyfk7EelvSxbIkhW/LIPJKmiyWhDIz8e0dkWaiSXRYmLmK2
7gJIgN5WDs87K1Tp9fi0iD1zlvwz7r5nwh6U1eiR9DcRN+OjyiDuuW3PGrV8bfQ4ZfOZx5W6xsup
4WYvTP2qyZAjlbFD0OaU3arxsM6cnhHFiJtrVM3HEl1MkTgVs4axOldLpLeK461LB+xyVO/LvLpo
tXZbEAide87ZaIWPtEwYBjJjAgqWbvrSVPca7kE2hC2aom5EG2RXFPo5hSxfz4MbdcnZgN11jQAX
LKsWKohAjOJESsAtZtphU9QOVDvbOZgs/NA8yCYhflbR87XI8Xmv0UQcZ326Uls2lqrdNkG6mFRF
rd5E+IvZ0yIoE8apibyNMuqk0tpXVursw3zeZgORrOrcBkMX3XZucRq9YauPOleCOiDh4DdP9xKn
Vr83i/TBcqpbp4q3Urr3aOZx/Ip2Bxv/tsaiIWRyI4r+ka3kTiOSYUUhX1MDWEwPEmOLVMraoK3T
N6MzndslkiZ+5emq79MPdAOrQfC1KVNkrZFxEKakk744O1tjtp5JB16HS3Jx1+dHHH3XhdXU+4kw
unNupZukl6+lQgBEeyt6TfO9xruK4jSo24F85flM2Nq96qUSaVa6bROxQ3oOjZfLL2mz56KP2BQ4
9mYpeFYGEjGUjcz2FTwGzSRfvFCr1mpB62bPF1IdTmRFPei6PFStElTaGOiu9WrUKh6mML2Zo/gk
STFphDyPLe0+b1RtrerTpimzlHR55SJUvS2FHGG3nUtAUfk6hADLmUGfe9EkVyyZDnnOP9O8Awqy
jg6s2LtRfz4sdESzmOHpGsaZU1ngAl2Zk8mBwhWTM1LQ6xgzDyFJdvSULuokiymQsNRPTKe7LBme
Wk9upDes2b9sU8N97tySogSTRDUxBdd6v+sMlHz14+QAp9QLpG7StM9dvb92tQaK4CiReAnjMenF
Xrbcl8oQou00rwwwpiwJr/TSS/xpHo4WslLi5cttWAp37yFkizNnm7jZA0kv55Ha3jkASjGKqddd
bAZ6jUCxbA6Z2j9khXkjEn4XRT28mQWPmiqOuEROY170+2iim0+TYZfrzaHx9GteJGdVj/M4FgQ4
hex6kMbwqhoeC72B6mzmm6FVL6tckmqlHRQDJGsjlb05mTsVolEnmn0xy50EW4q65nzEgtbl81U3
ZIzbiuaImu4w1rxk3YKNSZvfhWr5nEFfprDad8L8aM36LK7sPaSV+6FNbiy3vaVPyhFchZvBitkc
uK+ZWu+1Ahb8jC4i1FHId+VZCcRj1WoS9mZ2SObyecyNG8gEmFTourWqUf2UzDoCbTZlXZ8s4pQT
x/38pzb5Wpuw8v5ZbfIGSBhv6J/VJrznr7UJzS2DJiA+UPH+gMxwbQwC3/6G9/pWm+CTM4D/IMnm
P7q10DS+bQLcX4irYadgWO4iDQfN/j/rex0HYBBfHX491gq/50EZ6VDi2B4lj4fLOhAhx4a893Rd
pwOI67HbwBBvDfjT5vAk0+JQt6O3talS8HWTdxBOURuEpasBYrfX7HIBEEyl49tqohwgybxYoT5f
EHb2Ie2mhQ6NHavOwxujV+xjOTCenwaj2dQjKTHwiNZpFN93hLNKbstN4rlnRaefYaL7zMbpXsaw
Jczs1OQiIOdq5yW4Q7wUw2lSGDX3FhczgKJ8uXxJYfSgTcAy+Ugd807aynM2KB9yWKC6IRayUU4j
PNbivVkOqkxVLjpmXgGJbJRBGQv0wbNfFyUg/nNb83OgFqsBdVpA/X8fF9WVbkdruxJ0wxNqnKbv
hnUkSJA8RskeqvU1F+XRyMOPmcNlKi9trZYIeLOLEjzEPKYPRUPIqx6+xaV1O1jI6dX0c4rMOkhy
/coF/r5Cdayuh6hlVdoh3e5RGvd5nG/GDs9h4xlNIOzppsB+gkZImjt2v6lv5LGAXdI7q7kyZ79I
WNy0IY5FpbPbAEzSLovNFpiOsSV4N722tFxnXphXq3QCB6EliP+sCgi4QKOKmkiiCnO1+gz9wXXV
jlR0SqVuWTvucUQngTC6ZGPiL971oTdl92WkONFRb+fiAb8XS5ucnQU/vmH2R8OWmA0TydXifrZe
vBtj7sNOILb84lrvvjjYBUTdd+xUjoJxiqVxYmrhxmptDfBSMvrtjMEw0qdyU5uyOhazntyxYb8X
XTLuDNt7zkhW9y3yh07STPVAqXsWTZN765VybxRwg0XYb3NgTzuhaXdKH2pBr0pjPaIz3SKJja4L
k6PaafXy1JYewid+lkY7HMd4ojLtEhQepsM4o8nHS0Sr7drtZX0bNcNrCx3z4GT6gMY1/qg1EjJm
c1LXiaddKORDo0nBEI1kXcOA1/U70Ydipws7v2nsJgfm7pS3mc5tWmtJjJqgvq3cLug6GzJHz8A0
SqzdaIP26EPmHqnRs2yuppMEdO8rSMX9As/h2kooLzpbY82fhEicJ/VlDGu/ieW9OwGWNkqioqoI
UXlketNKH01lj9ae8UiKVLWcmzBI3K7c4sPM3jL2QLu8l81qZhyTyXjcDcgJ1qLzZjMQ6AFWtoUH
QhpaeB5Hhnt0h+miZTq78pip+05FAkpaDGIDN3wMOr1sj4o7o3zVUGtn1jiv/7mPvt5HP9WBLb3y
hs30W9K+/dmV9KMgTHc1FtOq5SC8X1Rf35bTOJJQgtFiLqvmr8mD364k5xdPh1rAvP3X9/p2JbHP
YWCKHln7/7Bu/2EQy6fHMGXxPz4ow6cfu2UrR2yfhmI+zWgsSSBbXvffXdRUYoRmlP9R9sVlhRGg
/e//XD7Cb7ufhUpq8jEAXzJsxrrwZRT83fKbl6xdj7WhnVpYqwxsrDzBAvA+DLuff54fv5M/fh5W
YN8v2QGq16isLO1kLTAEcS6d959/gsUj9tPv5HeThUhrSr0HhnbSR2c1mHeO94mqhrkdy6thjT7B
b4enut/1yWWHJVxLPmDiRaD8q6uuRHuGqJbgCCtClAQ8ybzq0xuJ+Hf0in/zo9CoZX76lVLQfP+z
MBIlhK2z/CyMNbQ8Iusf+iHxK808SYbr5K9iBPl0cDk2/F/XTvyf/6iWiukPXwBoMMtmc4bpbQnT
/v4LKBEwdIPqTCdsLwTNaJ7IzzMEkJ0/1WZT+x6D936fuljdxxbnj7zWQMcAfUL9PqjK7Auroamp
WYxtukg9k5zfYpsXhCwbZzJUqZF0JdXuRoOYOSPz8DmHZNCUaboWttjXzAX0odlo3USzPG3j+TTY
ybqIMLexRcTbvBV4uQv9MpxTTP+PLbysqL1FIkfyYo4L1w4GNtjYHfaGZfkOhrcprYMMdDvxcIFN
Hs7Mwi2ZNL/XenyiRD/WKHofW8wZuBFoWsqD1plXaXpMx2I7lDoeKCwOtTEb68q77Uw7MOHrpAPq
SiuJzMBMGjdQ3QJxdZY/oU9YFQW7fM8K2yUl4fznv6EvG5bfHssF3vbDg2/+7nGRCWt7smzmk7o1
duF+Pu8ejC1+slO70s67HbFea6zU/rQx/DNxVmyqYHxS9tmm26pb+5hs0q/Um7+UEvw4tvvj48vA
8ftXjJnnvVMsL9kq21fMeWSALwjbrvpvjqM/e2V+fxz97sBzk2LOY5r9E869/HZ8b5Z8FJ/pPjjJ
n/+Iv+Sn//Yj/votff8QMCj9/lvyeGKE4eFWjBk2XmYj6jHUrivZQoX0oxOL3Z9/wj87AZFBgREl
25Jd++9+pYVdjI6TGzpRqkSMzq+DcvnzT/BnB+D3n+B3PzuaBGCaka6f2iFYjAJS8Zm+/Zvv4t99
kt+dst7o2fPEJPnkDYe5OevsW91+/vn38WdX0vffx++Ox4m7GlWOpZ/grSCZlAzirr30wmMd8eUT
/W9rVo7Jm6ja6rP7r+Ujv1X1JJIo7v7Pj39sv/45+qiWTMUf/kBsC3Ojq/5DTNcfLW6zb03q8i//
X//yX+ilW6JY/vs/X96BxzPO7kTy1ul/XAhYPJ9/3a7f9lgsivLjz9/vW7MOuYbJP5R0sNVspFU+
5K+VkQrUBo4lInrc3CQ9ft+sI1VhLazpUO+XCf9vzTqVEW9Ykl0XefvfXFLbX0jmv39+Vai/2sJw
55n63fOrDZYolKooTjMJ4oamrcyhslYj/Im5TCuGRfhVU3LHCSLG70cSudpr24Rk8rhXGDenYO/0
q1KDPUOCuWzrl6w3n4gSIQaxO46zdh555m6Ol9XmEoIeE6Xckoo+LPHoNjnpACts3/wSnb6EqM8a
puFiCVbPs7hduUvYekXqet9/iV8vLt0lkN3D4LWakdCi6n+1FWsD7+AyxvRaL2HubJcfpUayWkXO
u2s1iOx6Fs/ZEgLf29W7vcTCWyMe8TkmKj5ZQuOtyT3vSJE3SJPHhPoxmfORTLfXnLR5OQ0Vk4Bo
W5FDb1sAWyqS6UGknOVLVL0XW3cGcWNAgZ9lbG/aJdReaHjvpOdesjQ85EV1SmV2kcp0UytaiFdF
Jj5xmMpKE8qDV7CaqeYav0F6HosZvhUbVVad3Z7EGiZ8GSyY2PYI1kq959EpLtEZnZu9W13UzRXr
202BG21y6GYtb9Mb4/XEAnxM02RlCO3F0GIE+8rjYIYPDIg2do8L2GP2vTPy4hWk0V2tQIAo2KzD
oksvJsRAqOL7K3UMsW9mdnHfmHt7aqk9OjeqmEg7w0WkuptQhlzgFkK+qR/+L3vnsSU3dm3bX7k/
AA1400XAhI/0roORTJLw3uPr7wSlkpJZdTOHhl7jNdSUWCQiAsA5++y91lzEbZEywzCe2KM2c7q6
eOj5GAFAwE0a42XjaO1r8UoiMonREudDPXAfkgReZyKamVPOJhrGWbmJzfIwjsF3aihk6Lp+p5b6
jYDYY0O/4WiBBcU1b0SbqMIfHzfRjYBoXEs69aiV6LqnOrmj+HxDdIH+M7/Oo/R7UjQPoYVCG14U
/km+1LYKpJGyNqCoKqdwY8iyp6grZdEIGKjFqVfFvbNQtmpL6jPJ36Yy4JSiJ4hMbvsfCHErR9WR
j4tG9VSWuWtJVbZ22KNNneGbJdyMk+8ktRz0G/wGJtLvZcJJBve4Oi1zc18vKYbbHmOqiFOsjAXJ
jieIkQQtAU1qyoMILeUo5anXm+1TrBtHTdVusEPEGyMmTVSQlsXPC1rqRdCMnjVjDSsV+aUq6ltz
4MZrIzx5bSHsPIDYKUDVGbQbqzJvehSZo4L0XwqCnZEKpq3x0FMjmx6EmdU0jXFFDtPWrkbiCZK6
QciwzK+hsgBuaUnay/hF7Q5kIHIJR0yZ+cwG5vQsjy9wsUhqkXN3JlmH7k8UMEoJl1chnV+7Qb8L
p+EuzeiQTOZVKsvpZgwXDLUyNkhq+ofZpGjpMsNdQYrRPOh7kJfEPkl4YnptCO1CmF+5r/OeOEC3
rCqVqQOMIBnEjDy1p0wUTpMIgCYmJ86FnvRaImGZqw7BrZ7P3C5m+vNoILtr8KrK9Xibr2SbuoXI
QlY2eQ80UDfjSsAZe55A/v+f8krHmbUssIEBGRhzhRvgBT/alaWj6nmMQc+4r8DstCtvh/HwD8CP
F4MZJslIOgYB2DzFSunRyZ5kvNUcAwA+YEO52yvTpy740unK+ekB/qgr+QdTeUEmOjSgYcDXyBF1
GzA93ZYgg2o9Ln2LpREbqlfT+NxE4IWWLrq0K4QTWR3uHxBEdFdHDmHlVQ2cKFkhRQtrJdAiaaUX
lb84RqXxSqYc+rZoL/PlnHFlHmlif8+4SdogFKrdLAHJ0KyMpLQNngegSQ3wpGilKIUEMRBY2bs5
CxyBj/1ttTKXGuBLvSKUjgmmAnvGehbMISc0CCVY5UvQTSx0fliDf5KBOpEW+5DK3WNTm4qTpf2j
uvKfJHmUMMrDhFpWOlT8ixOFQpxOE+yoTFJ2TZvcFkTjLStdKkil5zHF7m/Bn9J+gahWJJVS6UwF
5YdBvx7b/RI8jUAzIuUa+ILN4e4Bd+l9DNQK2VXnMwUE3QskpFrJV2Ki/5BY6F2JgxR+bl7tlZMl
rMQsY2VnZStFK1aJLLegh1XZzWDJW2PlbUGTcpdZui00eJ0rkSsO+0ejAw0g1t2+7s6oD+1OY2Qc
GuGVuiK9shXuJSNO32hN/CjB/cpWABjOEMmjVXqyVjjYANjTY2qb2AskEbtdIWIaNLERqhhJ0hSr
4GARc5Uh3AEm91iApvIHJ4LoNBadra5pXZrxmJT56NPfZJDb1ct8ljDlb6KW+2zMi44RqXPjmHg3
1q990C3WRVKa8iIuwrIN2k7dMdI6Z01kmq+9Os/+MjFGjioQ12weCd6w0Ms16SRX2o7VaK8HPDpE
SNgNnihHaFQgukbFCjHUcDdaYYv79IzeKtwWkfhDmcUfDAG+seUkGOcnCMB4xk0DM7LIV+cztopU
OumUvU1xCpUijHxZRJ0KQYHlIdSfoikfEHV2iTvWUF+lFnmDDJd2EAhbxrkT8mNX3zpxL6nBTRoY
W0EY5XPcGBelmgLOSrm0STPxnp+fXVzKflRTsh9g9nlVPV03LTFqZot2SDEKr5jEdEMI3dpkB5Qn
1eNT0eEMmrJbTZ0dPdPuUTZczTUTXqyAO+aXXhNnVwPvCcaiifN7xQhbfWNxveqssdjQbWcwq9c3
KB48FjjJH9WGLVtqz0UEbNtYpG2h075nTnExLPRTcNt6OsLp7DYTgjrW/QyV8QJpWWcIPTESqXQa
9HEpvy70oCHYjsQ5Ix4j1/tMkfvUNNVxMjIDm7ngSrTEweU+s7VgU5NvQHAdeHO3BlZLzvzRfbW0
1SaJs9MosdWm0jEOugOpYI9aJT2NQbrS4ozHVp5O5YQDnGM4FBlaV5zzw4d8Ju2adN7dEu8btTnB
Y/CqUQZ5EJvXkVaxRwv6fV8Np2VigFHE3zJV20Nzy7jt8xEic7+dmxl/9aSfcgmLhJ6zEAqRL2ox
cAxN3aYlakpxOfSNomxCbcEGteiPyZjnV0oA4wa4hWALYyM7Q6QSkdBjwxxp3NhaXszAzgxAakuz
bYFbO42YfDNGahhz6q+MqlV8qxlKH1tGe8zrBmOyMh6yBNRiGQZ+mgWCb2E9p+YMOl4uLTMX9Q4n
xl6PjdzHyLKzqLaQa1ZKQtgEE6F/xLH8vz6P+T/KM9PG9vfz1//Px7H1gPR/H8fWbvWxj9v/uXyL
2+qv+tX89XenMpRdmgQbFAE7IQPvTmWgsjAYEEdtiQr9TA5sf/Srtb+RkQKzmz8wRXoP/K0/+tXq
30w62eCz1qggHTDuvzNC/b3HQduKYxisUUvF7UWWwa8UlXfd5AbQRot/OryEHC8QQsbqV6mBqr6e
696d+1SaJwplEbYWFC5Ywz60B3KpFK0qm6dzmBo7Eustb5LlpPGMfDpNyqSPzkrv8Bd6my7YPGRS
EhiuWxm4OLs6PPqT0RhWC8YxqE99I5johns4IyddF4iFVJGohY5YSQi72lGkThvFijEh2bYNXE1/
IqTFBwMiuyPhhn4TqbXbliN9Th0RRjHoVwm2AYL4sE70JUPQGBenzDS0TAS/yMelvC2aJfqZo5f1
FAljFdjJVhRcNPiqnJAiz/9yJQgdkhupuajcwo9H78L6XV93E58iJiJ3gRFiC1P0pFTSIZoiPLMQ
l2yQFTtlqH2EbMex1yXb6IRzHw0PWqrc1VZ726TLEZDmg86CQdVcI1uO1SP4CTdU62NEABLEznQn
ETRJHI1+YAuBU0qo+BCWhI5Tooh0qJdy3iOGea6ShAjXzNBtsawvDVDVrVVEoJzEb5GezuC+CSVQ
A1YqM5N+RFlJ6KlluTNyLhubtkyFR/nSTZPmg1NeDvVcHQbWoSlPtx0cVD/PtMaJlQUbc4VZPT7l
49ozV9TaDqPKX5ZmFzTxTQQY1U8KjbJTSHfNwjkrJAqhaKeGQND8tmy6Q6SQASHMov42D6zzM5St
DWIFb6p4VCcpdlXGwRx2CqIug91U1adRLdgVUbnaKaYp7Djs32GirZsjR8lJ7bcIqzWOMJbs5IHa
IXXvTjVbNdP2ZjcwpIdIIf5Q9f475jUTHKGeczgm08qOUi2+rgrQZXBrY20DCxL2qiTsrTSRfEbX
b+BhdovOHF4y7rtIWHW8um3ODah2c+1YHJfcvB6KwrMY64KOdFs6GbmObR0dk2+OnezUCj88+9m2
FYdHacG0XGmhg/32Ba/KqRQ7hTPotGfIdLXwjw4SCiYTbbgq+ThjXuUWr78w7RicH5VA2FrGwxS8
lOayN3Jc0xrJ7I2hcRaUEORN3wYO4X1ndkjr0qMmz1dhkEgbRU51G5P3cxbKzwpCUyw80tFS0S2P
6gXINfHhnIeXni1sqT2IwHfm1N6r6YD1np6sFlFiDogeIRgTejPECMrTHccEnIiD9FAJ0Z1p5vdC
RYZvMXpGWP2UjWlfW8J+mgiQbxN9XyeWn+lwcUyjdThDoL/r1e5GHRPAqARVJ+ILBxEKNoXZl1Ui
QJSVKjljvU+3k5DLz+VoGk+tWeKFnuY5gJYWpDdTgFthmjLJJYqE7O24i5xaSAnKzTqgKt3c27Us
IETntTgOlRafe3VBVZo1QwDJr9LXN0xCBYh4AbWEWQfmtwXjhBNR2QutrLtDq58D0owB31SD3alW
y8MMqYlCOjtw2AyZ/Gs3nUggI4kCtRMOlWlLUnIYSoQQVcrxdywJRqna0Est9UnXbxPuPIQUSllj
As5iKpl+Ciq0mtNCBZjq5TeVGD/o4nPEK4cyVNXuRPKZ+R3n1A/n8JgQFwDfM7hOV6jUZEErTBwz
kWs7EMTbQOcuK9ULOGIMncl2SLqfxAReMo1BThiQVquM2bOcwA3TjZdyZthjtlgtJGwawZgwgmsL
04ZHdGwDzZlnek2cp5Na/p7r3eRXteYkxfA8KIGvqV2FGBKTSUdSScNtTkdQF8ajVLQPWl88alKJ
33tKbqdsPhbWuO1qJDHCmDyG0byLR17RaToNQe6HOac8MdNvum65IK54niLtXCbqxlSHx5EiTBrL
fWwsgzeoFouF2Gy4G8RXpC/Qg4hISXQoeqS0TxkEns6Md2E7ocMHNLpJNP0Wayi/YIa2NiyMu3qI
950CkZUw4md2gkMdMFER4uIqjpduWybhowZ8xkaqt9VyxV1rcaGfTkrBt88j42j2BsDjcE9f4dmC
IRMQMlGZ6QWR1BbBH+TsAOGRnL4KpuDQr9v2GQ2dug9exS7d81s7Mbgqmwk3oLn5ugW+s0nUdp+I
wrbR9JcAed3AOVHthttANRzE3IuH0qm08zi6EtXpZyBig53R2IlqwqhviU+Wlvl1UN/lRbc4aVFu
h3Cot2SSz0cJfFAiy8e+iV/0gN5QQ78En0bnFbko2aWqjlfo0iPbbEIFolfzVMC39QTRvIgWBIGx
qOsVbgAFgNORh5XjjaZgjhQlFJ4wy/C8oF9xZxH1haLG2feJw6EjK3kEOHaWT2PU/pu5q5QgGDLh
s1CFIDv7U/KulGpSnheBcE6Sez19SK1vqua/KwGv/l7PvJ/Lf5iz/OkSa6X1rpKaeYr1FGULsDes
28alry5EsH5+jQ+Dln9cQxeZRUG10VYXwftryHI/g1CAhgaakMURkcFxmu5oCH9+GSQUHwo2awXu
4EtTUPghr/v9MmGZzIqRDuGlR3FbJwSYyauJ8b5Xr0aQZ3rb0KD6LwDpH+ZDZvWfHiW61/+xX5tv
r3/pQeQvvztI4ARR8f4SvgEF9MN4x5BFi5Yy3kBJpQL/10GC1xXXhgnIzUAuwr384yChrJkFiB0V
BWGMzD/7Hx0kLHBKkEx5bBjt6B8fTSWShLGjNjhHcHbb8zQ9v/tZ/uL1Imrtt6eSo4rFE6ngviQi
zdKAmP3+VPZBq3aBNvXnftFcWa5+zpV6zgI0gE33swPkjvMjdnIVYaEkFDsAQtumTtzeqDBWCXrp
k17vF0aDW4VQgj7y1Lb6LmQAAGTr2Gvoz9qOLXiJsos0SFoK8qirlUuYc1igx4YDjR9xo0UoLmls
zktrj6K2m9bFaoTEoPxav/BXG6BMWdRqeW3hrgud2gKAbdbFL1mXQStV3/p1YaRSDLE3RvVBWpfN
UDIvRoU1MGNFJTZScaV1ka3W5TaZRglaJEuwtC7Gc1McBlZnetpUbrJjrcv2uC7gGSs5gKLFaVjb
A9Z4hbXeRNlGilrxIqzbgMR+gOflAq4cHVtOiFJPbzisulsDsYXAXqLU6BDZW4qq33frZkPmwfWU
mvtk3YbCpXEk9qXaMF4DaSD9yEi2oSWQExW/dutWRlcD6aq5zcLkIrDXYXNxokB+btkDLfZCyC5H
dd0cG3k4ZQpRaOyaTQVydN1GS9V6SNaNdUmzq2bdalv23I69t6plBC9CslcF9a5bt2d53aiVBRvE
unVH6ybes5vP67aurRt8wE4vrlt+yd7fUwOM1ALcC0S3Bce5KCz2E/WCRd2glspmpI7QqSda6grO
WTfRWmj0VByGOpwiKpByHnch8tdoQHabU6NkA14HObvV1+KlS7JHJIIPElUNXkavpMox6YMLU/Oi
r+UPukPI/e1zyZdH5T75wrx8T6mYZoZMDRWUkk7HakR+09chRnbsj5Qna8FlcEKiAuMtABGaPIcB
KaJT2yUeLF8em/rnTPVm0oZUqeb6RnwWqO5aA/Z8Sr03UPeJWvZtWevAtSCMqAzTpEmBuVMsqoJx
F1E91hVE4zAO6Rzn+TdLAo8prMWmuRjaiTK/YECi01WtJFS2FKfUqP1arAoyY8VsLWCXZIQKnRyE
ntKWgUftaLAVbQ6/N9NaAPdrKQzACBCyrrQcoSmUyYcL3JHaOewoomOqaXEtq621wIYyPbjRr6p7
+FWB57+q8XwWgnl1QsTnaS3X60qHe8BPAV+4CmFU/yrry8hRI6OBFCqIbrfQlizWg0CJrr1b4YeH
SifUI5pp59bNoeumS6VW9Bn6CZevstI+5Lrdco5M3DDuj7oUYlhIq8KXFg0Q2mK5yyRLYFazyi27
usT0H2cXA7pCijukvV4GvnEQVG/aMj80gfJqpPWW9e2URFK+sSQ27jkTjkH6CyZNfyDVtWnTZSUH
YA1IFyfMIIOWXNyMA7MNWdYvamxySmFslqiOYki9U1bFwahx5TIJ4r8fr4sexmTFhIw1ah/WwRY2
IjET9COoFjJaGpEWncRMfEyZtCn9qgULMr+YUmg52OfauCPZJNBRWwFwDdTY+FaNgrxZlrolAaQe
8zvM1qM34GpSkMduFJS1UAkWzg9x3JwWMz0rMv0Xq72Watx5Wcupiznj6ptzWPKwTAc9sQHIyrJ5
uF9zEnI53/QkxmRO2/RQnccut1hz+v0o6uVLoXZY22LhJ1Q3+HI9TBsuh3qXRvOlVDIao8QXDBxd
osEv1Hz2Wfqjx6DmCnKf3RWg7TAwi9a+h9iyh1uHiF3T0cQr5o5MW2T2pXGn1SWFjppwAs+JOHRm
NUC3ndZ3ejDfmYW2PC1BQRBUDyEMgCeNmnHyOg51fiUOhV/OdbnJ+It2M2j9E1135pvmDD0ZxGXE
rhR1W3Wg+ZCOWBTMHHt0Xj7rAz46xtiYwty+ZegxG/u0nu9FLAxDjNmgrKL7PpPvzL62DtM8DbsS
zrZTBhnN4z5hVimKz8jGFYf2Rv3U65XkEKiz2NDhsUvHPeyiQHmS8fXcBrI2gQIndTbpxdn9fHv+
U/ULuUaXKDUsBv8ITdaS8l31K+c5mtwwKc5dmjjIoneM56/HpvU+v8yqRvm9NP11HVwnsA4ALvyp
COgMuPhhVJzzLDu1unzPqnRl5vkLyyXAjplJFACf7TBVXmam21aOQCPBK5eLAyvVEfGfnVjpdRT0
N3otukoEIxc0Pq3FH2WvD3jOSYRczLMuhq+ff/S//OSwX8hFUDUFDPvvv5CW92XcWWlxBpZuh/Pd
ijeJyi9kiB8yZCEIWcbfTzorWULjQf/9KhzjqzlP++FchWhaBF3d0T9R6QHW7BvDQDSnMDwJVVZe
FxbPoCXuRnNExTkDRVx9tEuSe5Gw9NcIc63bgl2pL4czLEFOlyWja01OaFGV4TkW4MYG2BtHmfdG
zzmQzGRU3mDIeE27DDwgzsIF4X3QSrobZXHqpp3yJpD5DPeq37Aq4fAnl3pT1oqfRDhR2IrWIZy+
A/P0g8ya18lY5/AALZgXnebFGGzDmIWtKI3JCUBSjsgBkwzS2NiJLBDNUhw+BL2U39UjfTNLCo9a
Xmleq1fdVpdGdyjZ4iRwgXNipG4lyhdNNApnWtCMSkp2DERGjB6Cjx3r4rMpMP41Rmk7J+pzpgBs
LnB6Mt6ie0ObaFEpPSZeM5ITmQjTd9o2HcETuTTtkdm+gkiP3uZM80W9zuHdRye5XDMg2toDNm7Z
xMvd5Jj0sRdJcNqX6VAb7RciUPgkH98XngdeyBU0QvcdGPjvzwNIsLLgz7ozjqNXxWpzZ6mG7KwL
NWrQNnqB3oE4tI02kj6ByPgVn5ud+FVIG8W0uAV0dWKQao+LfNJK84lIzshrsaB6fS+qO0R/Pb4O
mqF4oE1XLNV8K7OpO6MU147ZCNQjLERiXhZEjta3Yc7AT4oYki5j3wJFrjGp1p6eLyj69FdrFRAO
Umlsmly+1wkiUKGeEaskOXoJFrMhX8ZuRv0pMfXdGMjfdQO9JCO9e9PKtnox3QVWcjSGBuS3AgAV
kMVU2f0s32rDcEqT6LaOtZvcwAM2d09mmqo2daPo6nVPLVhDtegxDJkaUEIFj7cI3ciRdOFV4JnY
VJbyLCnCkxTBa62BCbuRgeFyQW8kTKUrqY0vApOzigF+GUIjwrhgl4gbABwHg2xcdGJogbPVBdXd
KWsQOfE3LWHy0C/earhBhaGv/uxT2hdOCm8REOLRKHRvLFUnYoa6ibGmyVZ8nVY0zWdzcUts1XoG
wLGioCn1kHMJL+MgWNdj3f0E/AhKYl59cUSEdj1MEriockiIl6QfdeaLsYL42pTC3FXDhd4hFWra
R0d0Yy4StseyxLQjxFcrMD2MSk9OhQP9fCcaw60pZc80KknXsAtrhyxBIpHDyYLR69jeiyavnF6o
ExQWgp+M5mFJsJpZ6GFGiT5+K7LoLrLkJSBLGQBfAbzbhkV3CMf6WKw+vK7LhEtWrSrwzNir4Xio
fhn/S8y5SoUGfhSTbVSNJ6HllJBB7lZyt4QWjYH8Stdcg1Sn0TwDiNZnr1S3gTE8VqKAzE886VrT
YJhSj0k0EpYAXvrQy4OxaYnn3hhJUPjjQHYpdcMWc3DrzDr9u4EqxChRbRnQT4agkb7Y2r54U5X1
+Pt+B42sObGqtAcyS6hde8qLaTMNa5f1kjYnmH5f6ILXJs7vU7nfVgblw3FajqKC0wUrQ1n+AEQ6
TAhKjkX4hBPvi43vz+0kHDk0lGQsOQaUonVnfPfNxhYYaAJqBcjpjNM/ntpNHMhrbHO5i0qE+ek0
EMUGV68kf/1k1hAP9KTENZbgIGRazp2RhJ8YTq+nQmGypfQPQlxeStG4zSjfOPVsula+nWjiOkWH
HqSLX4pEfRSirLoJe0YTWhR1fq716+zAprBwZ3KiGXQFftEpxiOd1dtqweOtaPteIb1YkQ9LOO+0
yrqMaXho2LYNIT2k8hptwUA/MjdTJT3mVePGWbAbK5LPM+CInZa/LuKsbbIxfK7hMTzKYdCh4lPC
L37V3we3f9/o3/+oa6vw3Y+a6sy6GgK0zub0Ei3fZvPv/bj/0z/w1b//YeMQhYwaOUznc2zegh+2
a+X+i8fiL56/d1/g19T43RdAXZ+KqRzOZ02+wiRp8zOJ0bz5/CJ/bpiuj57JmJzRrmbqHx69yWhp
Jqt8C4sEve6tG3Nqkvt4Mr64G/Lvz/janEKBYxBHRfOL0lT6cKE5iQu0hZV8pox5Y1Nz7jIvcMhi
tuPNo13Yjzt9Mxy/3aB8epjcV7rf33ij262y+/wLy2sL+JPX+tcHffezWkNsVVbIMtJ5gyNuRHe6
7f38OvIsd0WSepLP7+xJG+bPduRaTjW46rl4+/xTrOr1P32KdzdX+9BBRsqcmTL84PMTyCPXsDvP
ujLsS0tYgOM/apuj7uS+dY68aVvcatu7wAn9acu6Zy9+admYsm2cy45w7LeF314iMsvt0Hko7f4s
bmZf21k7hLvb5j73bj//6MpXD/6HClqQW8RVQsxzaTN/9doflVfdSQ6h4w4pBA65el6+L/2rt6Pb
7whbmDbJHh/3PjmHGzYfF7Lr92Dz8Pmn+mXw+nhb3/2gH8mgcVwOjaHzqaKdZUebZZv7wV2BBRUw
ts3A1m42TCp9sgq28guNNPfz66+P758v/6/36MNqw1IjkM2KhENcStcYx8MipOehJwTi8+usq8pn
1/mw6pgklJA9kc1namp7GN/EaTviY1fcWuxoRXmfX+2vb/U/v9XHw6TA7EvR6qQ/Q5nk5HdThdf/
2QU+nPmUCY68nnOAIiJVTugDWobz+RW+uDHG+iK+e92FvDILY+ZFK6tzi3y7kp+W3vzirnz1O31Y
3FopQxNrJN15Wu/KkhE4mWz+s+/x4QHry6XtizafzyOhWLF+zlPM5/nV5xf54ukyPqxKehAKM805
dgOCwlSrcNOsuyhKvzFIRUmQZQ5Qfz+/5F/eH81CCsKcRQSQ/fv9MRVDCaq4689q/rNJvFSJaPL5
n1/jL2/Pu2t8eGkyBIJCHanTWUsIdRWv8/yLrsJXF/iwJC5pPilJWQ9nkUWbZnSqZF/8TL/2x89e
/A/PcRQz9AkynmPOBjZg/T0miBNHBMySm8hlEmnnh89/tVXS9+las37rd6+ORP9P6uSIPeqJxnDB
qnoKubY9vqLV2Q32Fchw/sDW3Hwj2ea1YN907rqrXz3XV8qeUzvsfxdw17bYRP5XH+8vN/L3pcvH
JyduRlEKeOmky7qRCzbEW3VXSBs79VXnsbD3WFgOPxFukThyPx9Ivvpi9VqzVT79hT7c90Fo9ai2
ZmoJh8BkB2W5jL79kDk31lk/QuBwngkDtgs6tl7jV765Eb5Yob/6CMaHU5Ew9aRyjVV3Fg6lPeEc
spPvmgeq+9D/mLaVmx8NX/CFn+Gzspn89EI21o8vnpPf545/VNr/2iU+PCfpoORqW/BoAoHwSNy2
47Wq26Wbu2E37XYkiNnLmaSCRxFTb+5VvnEFecrp3Wg32tFL9sVK+etg9qdX5V+vu/bhJzEFi9lQ
wZJSu6qv+ySUTx76wmN8kOy3cBd46cbcVVuaekcy+O5dXEfcos5PvdvYWYuEfxQH/1UBr3P0r0b3
m+yvB/f81T8G9xCCkf5KABnXu4Zk7p0CWOaPmGqDCGaqvzos/zm4N/4G2FFfwRSqgXFz5S7+MbjX
UQCjF2bcL+Km/HcVwH8erKMwhswHjUnTuNr6Id4vhIYUSrg/tPIim8xW5BXTJ43zDGuN6aM8hRKt
ttTLoPoVeSEjrS+i5xziH+I+zwQYVkICNPp6l2jCZRECV2QGg2vLKI/Zig9M4uZhhidoWpXomO1K
BhI6d4A5qDcBwUUdPdVfKMIyMa4nrAmh3SxJJTIH10UEwBqaXmkSz2TfDEDK1MGPggjTp0bgWiF2
OA4lBnEJE0gpnB0JZO0SlOgCSZbf9vqYO8Bmz9O8tn1npLu61dLBmrrJGQbxfoBSbCSzO8r0eTqy
9lb2U2Nrjfam8z031WqYrC3igfsByJA4jeAeiuTNgu7kzkHJdBjTH5YpxJ+FGuyyKtEJVJ3csiBU
CcNkdtA0YTwGcQTLccjpHzTJfVznCMgygjYbRuTwkTZaMpOiuEBk0/s7BMOMp9L6fhVmVzVkRKiA
R3WKa48o3B4mZtE7hUArcVTFeoMtA19G3Z+qKiHkaS4zj8mjj0F1rxXyQ54MuLFXTMUIIGGhoW0o
hO6QsPt9kJRTWCxnLHTYwQzif/qkeco6KIx9uWbMVMc+MrG5EsG84VCJM2/qiAUEctGWCMmqLsFD
Jeu7pNOv02CmNTe2oyMvoVuruemNQvlWy/hIZLE9y8roqrXgl2JOtk98IT73oCgM31leMWjyzAR9
e1XHemebKT+NiGzSVVeNAtrTNun9GvSxoUUwE6xS2NRDUm5TiVZpJfhNIgAEKNsT0cgddw/hZ2/q
NwjCTkjPS7eZKSvVXKV/mpLmruDTszO1gxyQigYeFdS4YXs3kQvkDUlxCtXgZa6H2ctIUQ4RyDta
Jz6odf2S4Eh1JLzIc93pNMzD6xB5rDTRVw+nc91a3xt9hCk6tPyGrb4L6xgvpq4du769xPSwheuy
NLLlxzxl6dbIVzlI9ZAGYb0ZFiKBiAA6FQxx9klnPZepeNNpzXezmjdNTXLFEnphoTtVO+6tDma1
KB/KLDrHZbmfEiw7JV6fgtE3nX0gUUE/7vRA+4kqucf9OiqqH/f0QW21GJZbWV9OYd0Q586E0oPN
NNmjonNd1a8y8KckE62qhO24KFeN9twKaDHz3rovLAlyIT0xuYntvNN2Y6TYYbVc9Yu8DYZ4RBvW
X7PY0ajvHJnwH6SS1NVBHVwpbXc0NbJFU2THZR/fGJKxQthulwqRgN70Cgf9GLFhQxqQmhuFb4WS
4jHRiz2FupmZUritEdEgR4xMt2S8Ygs9T05RkbpbSLJq55wazEl4MtTiZ9mI33MT2yepKA9LwThI
IrxsqisVPxXmSbEJDNtIqm9MRSFQptEJUyzLhChe5SUw196opcuoZD8UUsZccRl/9C2zkFyfbsBc
o5MphhdkH16tik9zbJzMrPYYsTDunXhfTLVVffigj8VElAlMNq8yZ38IiMWumisrzg4i/jX8TQM4
2+CcGIyxYj3dlsSU7Q1Buzd7MpOZem0US72TRE1mdF+2zsIIC15qMrm1IJ8mXoMro7RutBkaaabG
gFXpGhvY2mXckhixFLIUjA5BEB6hLiVQ1orr16gGUd7NtLP1LHPJcv0ZWm8xsPe2U25SfhP2AWkj
h0WGQda8gmPniZHAXRyYmVQBoophwVg+DokP4duw4ySz7LkjG4t/jmBMdB8aSTVaeI5gXtpop4eD
KkiQ3kNp3mrMvqaCfmtegQgvYxycZrG1JpQEPaLS3VROm0BwUlM5RHhgmJgYLxBe4x3LMQnLKmmj
6uQJUX0rx4EP36LZhJHeuxO4ONsK2zem+vFGYMLRaAauq7qmtGdWiWrsttemoyq2Ccix2u+xFmtp
dUZ2ne0qabyE3XQjEpjO1HxGuWocytrakuM1oo+Ze2/s5R+pBQWtNQzc3kZCbjYs219lxH/rKZUD
xpf1VNMvf8ZcrH/zXTmlmXiVYHxRAf3CSPwTcyH/TZHAQ8O9JmtFN/hbf+ggjb/JeMrX+Tg1zjoR
/a2cooEr44o3RGSHkv7v6CCZSP52auJfMoFc4ObVqemM9aP8Xk5ZgcAkzjSrSzHFJbEreoPODUph
NhWPcaOYLt4nCUkt4MAsNbBFaN2u1qSfAxujDR5j3I8ZTg/KCsJTxX4blqHLYAptWFPiui8Y5vUE
tidG8r/snUdzG8matf9Kx+yLUd4sZiIGjgC9lShtKiASKu99/frvSRqJFCHN7QYX+CIad3GjRTIL
SGS+9rznfOtcxv2VFrAbIqjFJK7bdG4xuUKpbHAuQCreGqVdTopOGzjm4wmFolvPq7OpHHx2Q+0G
N5yeW4J1menbbtIIJmaZ0ZqjBHJmV0eMMXKcS7xxP+k5+QyJNgtP5TKk3AqT2xHm/bCQkVKWqv6K
QAXpOi4Sg01nLTeLCaVDQ1y1ljuXWOW1Ly5hOWSnlbiWXq0dRrLjT11u7CCubuZ57dwS11njXntB
cQ3F38IXF97Ry0lVlsGqxRYoim9Nu76jYIPcsD2S9Tzajj5Z+sKa9HQxZ3EpyC/HK/fR4gjbYwkr
FAcwRScYJqTpjhxhqUJM1ojpCoUNC4Q1wyQddsK+FcLSScLmKcL6NUhGNZhDTdhFutJgiMQIBCYz
xHRm1YOKIbVYrhGWNRA21leqtd+kOiyW2F8dQxwKi8y8CoBOE25wYa0HYbeZQV7aGHLG4JiiT5TT
Qth4WVj7QNh9VXgA1GdudOETotaZ2TiJXHgLYqFlJPyHiSORhUdBp3Hh4mKqrL7ocDl1LB/GuKBM
+CLFCD47wjulwk+5wmM5uK4RFzYUw52KSyNE+KoLH5do7RXBDGPeuD+e3M97HGIrPCP0o9qkUAbQ
qXhNF/fpCD/aauU3RXhWMLnqKiBg+epLiTUvrMZBcDSt0IEYgVYZFK3DFhH4VrKOci+rLvsqQ6PC
GrzaYYMgFmOkkODH7o5aQ0OM21qUeb+sNXcxGBp0pG75xdGhWgYmudSjnEfQuEf7YVl2FPQagy22
mZSVEn+81fIMwhkV3Wwtt67twjyulWET+0U0YzrgKnZ979gc2/mYtGeq380UB7F7umyjQEc8hGPu
rOrMeoARypsgOM1EdutUUGBXlwD/2OLy1I2gQmB2JoehgaCW7jvUJozpIfPDCbdhle8H/qJHY5Re
0UDr2/0e5+4FALZmpie1fN76DaKMDeRZ7hgfF2oqz0fZLJZeA+YSyCXcBkddqFYz2qdfwnxkftms
6xNfl4Afw0+3kWU3uslkPQeWajOro8Q+wOJ/vdMjQ6WgbPuDd4IOPRiyZotv4u9e+SbYHwXiXugP
PzIf//BN2gFklczygsbTnhzQs2/S1QMmgFVDNmlhm84jfP851dflg0fiJQZ04a6keGD9Hd8EzfKv
vknHYSJIJOD+CDiaOMjXqT7ISxBipZld9KVsLdJW76Bp0Clg6d0SpCzV/QFyFghlURLSDPlYjhMl
nTBPHq0gWM7ugsStTvG/BECaVlyHjakvgeRXZ13k5g95LZDSMWIzfmwNmFGFebDckTq8mSL1F1WZ
1OdFCJxKkk2g7CAS0QB0lRgCKDc9i7zcebAl/4rcyDj3FKYrVc/vDkfbTG5rezAQVMGJdKrRnNaV
b60AymTFxGqkaKEY8BqD2qonvlapG+Cz8Z0hx+nSMyqEWXK3WrfwW8992Q7mVulAShAiZMakbX7Z
cdNjGOlJgrx81sJgD6+vlOrtfVZ5vn6spO44APbMogbkb91IG91zQv8MdvWmgPGxSstzy8/TieUp
vX/thw4wE+BNkM7WxO/dme0QEiDorOPJFnCx2xa8CC2w2pmhenFwbEoQzUyCJh6+ha1aoBCBXgTw
5/6L2cXaepAsIwNjZKYLolwEghp4k+suG9eioAN8Sw1kgDOoBAWe4hy6eet94yQFUzkdx7Vb+ePG
DPq7UioWqRccSRbOJFFM2BIMqOmlvAPNaivNcBgBZz0GTjecRFmfk/M6EY4/yZh/DTovAPdVQydA
qo4Kc1R81q0AX+8ot1rEXGguMffky107MewSvF1Ymdc2IL1VLdXObS4X5lnvFPIMbSAYtdTayG7c
SoY1oI2db5LVSUdaXFuTvE/OkTuTZmXd9oetRGAx7+KiqGe9G+RwbGbVasjd9AqGYEHiPJpfvVGx
oE+ywtvejYB/hXp4Skck/AIMH8HeUQwnRmP2ZWx66ZjDixC1hbpd6JXunT0m3W0K5cS8yfrgWgr6
/MJvYzR0UViJZ6muA9qqKuQuWwTo6nnVG9XMKyH1mXrwraDcpm5QwJ3oMbIEfaddEu7Z6HtnprLJ
s3xcFIHMvGFemWhXgGv51xY/2WKqnX+wxRmhxXqLJeavflhiUgEdsJHFsKP1KLD2kwxPO2B0jvRB
0OdCbo/9fskS7AObCSqsLShdLs/raSmY65FqYy2GpqBlwHS+kAJePFXn4RP8PbrmUaP2VRVf0PgK
qK4Kky/sCAxNvbXEVKGYl5BD+ZyRRQaYDVhAptDpN/dl2MxbnYsnCzVkiGdTtKmdT27d+hNXaCYb
hvWtTuJrS6gpU12eNXWNvjJCy4w5rCqEl5GUYQZCaDEHBdOmQqA50pSvnZBsroR4c1IUq6LlHozB
uVZLqwSV5wp5WqVE9rkRAtDtAMm1VdnLFG3oEUtloRVdd2Y2zaTxIhIy0pSNrlSt/uIQ6aBplV4O
EbRiGdrTkhChdoUcNST7TBGbsJbcxQhWdx68aKERXlVCy7osKiSfjeNELkhnoC8fhO61nOvnPmWw
iazoxyPS2G3aHNuV+5A73XEAd6UqNLR1oabtpS4z//CwkZN8If6Zo8elrMkvBAe+PRur8lOAOLdn
AYrscq2YUuu47RHwhtyLDwI7exTZp4PQ+Fb4DC6i38GYryuhAt66EN0hYARIW0UjPIX3zRWq4aWd
3GJ/zkGKfmXEmVIWAuO9XRzWj4rjTJkChVUWNmLkiLmdRyp1ZwOZ8kbolQ8jo00mxHmdcQqX/6Fc
o2xe2eElg7X6tEX03Eb8vINOYA7f3V3gG+iiqxRrCyf6VAjN9Ciq7wxE1NEjgBRNyKrb5amqaN6J
H5HS+EiupUiwd1UDyhNR9spFSaxCpl1Frl0Wuu22VTtHndnkc7SOH1LPuvbc4bCJun5O0etoyFQm
WjRpg/an0AhbmGH9mX9bphm5m97alN1U5qn8sL5IqzA+cfrkxjzJFMGVaCUzk8hm5muuP7Oa6juC
f8vQKg/NtvCndVN6C37xVGmKeZ4x8SFHbQtctbpW2vIQVc8v+qBQ8mtQWbCN4ypETKrOQL+maQK7
sz8siipa6DUIhBEQ5uAz5cLYr41yYIlCYQy2PxFou0E7VL3sODJ0lIlQHYlgeNej7ij0QQr6JZ08
h73X3eOa3BsGicAa7hsvKz/7AEJmvudAn2FmqXWl5nT1vYkNb+WljATiFWhkBNmUPljUmryA8sEE
x+1+j7x+4xqODKA/nqZyYR1Zaf+pMstvdUSIkGfZpeUx+eVHlzD3rSBAMKYa1Ap5b4FbteAbi+Vy
YQPGBIau8+HgzrDIH7Q+XAI51ecQ23VwjVnjNGwrpASDZFbD56SZw7o3IY7o+6+2C/7aGW75ooFE
htJqCKSTtPAP/Qj2TMroZqRMvTBmTMpdhswwRnbKaLwNQ50+Hml5/VkpSrgMwFuroGbbBDemBbjT
oKBSCLmZ01uHnWOiTJPwhXyqUT8e+gbCQDT30KaBIxshitRisKWa+YFzl4RAfqvSh0vBUahaBvC+
JGYzGSNKfYV8hn7gfdXpXAIGeHorn0e6M9Py4RS48grpVfgeVbk8VruO75ZJPgkm8Kq8b8r2nIRz
VoX6jRx4MAYM5ckYQWmiIySpRxFdGkgxil5xFpD0XxuNu2EOidPZEos4nj2tGBZCXrKfSoWx1LXk
AqKmFuqTgIEyaic24tS+3px2VnrcSwADkiie6p7NDEAzqVG5J5uniCEfOlZzEZjtZ1nNVy71SPRk
rXkUxti/PpUYFMiuNIZLpsFYnuuyN0F2cRljAPOgPXPN8aYQgo9qfemqzVFZtJA4GJC5obY4jrD3
meVck5RVlkEOXGXpiBXWFo5RHxPVLWyi06lDhlfksiAOZYJNbb5qAYSKhMfaisnSCwUpkNzzLpXR
PnHsoWWESwoW5tgdyWaEsgGJM7NyiHJKgbPSPKM5hLD3QoulRRQPF6pjf9cgMksBclcmgU9pSwvo
EdNpJ9XnQ51f1JZ92wcMDCaG0Uz7xHDQUFfju0hzB8ZJ2+9h1cB0I3+Km5QGUXbiO2hSQSpwRadg
pgbld8Nj7KlR8jO/p7MejreRojJd0kafsMDzKjUuS8llMFZ2vkhm+bkv+mMI3vNJ1SQWaTwKkIp/
rEaQd/TkC513rNeidaUPK7cgfYdyshj0pVlV0ac2RtJ8xlywspDGuoNiy57HcrBSjYj2VpeMsz7z
H3SgxTMoWOEihc3UGcdzpWQ0lXDBm3mg1XsakxNXK75bCCRNnRqISmBhLoc+nVF4+pyF6kWWqFd6
hLBbm+nMh1T3UPVSxxMl/eG8MvvVqGK/Smb3JvDf3PaD9Cnvs5s4oEzepdosj+kY2UN33kaIcDGL
dD2mOV22JmwuyzoM5gZFp6UuFMFMGoqoZihI3vwf4BhV4K1+hicUMS3wshZ0OpBQkS2KGOl1olgV
tqIPjgYZ33UyuTMW7UUxpfMxddY3V9Up5BrzbFovgxPjkNHeZbbwjwxvGZ76h/8GuI8BrkHm/fsA
96YBVbB5H+CKv3oJcNEhh8lCJpCFXEwwN/9EFUAEDQYZtjHDgQH1DduzeUAAa1myLAJQBCRflcGN
A5ie+dKpm+vApQE//BLQ/inAJY795QTxYEoZMu+BggYB8y8nCK4uuUiTrDkbobhlfrP5StYE+i0i
yZNbeKXKGMYX2BqHzD0NSsQgDaWrpmXaXjBxv7Koo08q8mPsdjGrpODYb8LTwYIYhfjjWpajh1bm
EkpZy6yN1CXMfain2Sh4aWTTmyaVKMDLnzsSRLXS7+CJBHjgO/rCFTbYkcZFrEsSHFU+ugQlsx2e
hABBHn4CV/A1H7Lb1ofvKqvhH3RN81OJGndKBb92pM9uClMWFB+aFpy2kX+CZO7XKrOTSeBYF6Vm
3Me4mXnCB6OyG5iHcKcAF8u+wEfIRFOoUeiuhwju3g7Cle52UBkj8OpuoesjHdNQYzKhC2JYrO2H
wkeZDRTpSVXHN106gu1BJNCI7KsscB7oN1/QuEWcoWAcXfbCeu521Bvy9k6O0nu3zr64BfTyWXpP
WkNoH5XevIEddllB7Uy5ZRkwJaiH3tdYZc46j20mt0wiuS7P7jvFOY0k5HySAWLeXGVOf9ATZ0FO
wcC8Yp3UFSQAusvQCAWcIC8XQ9Yt5LI78hxn6cF0hBbe90APNwgR3GiQgyFrfpd4YzKTRVGEL8mR
S+SQO8I8SDULsCaFeWky++I7/fc4dOBZBUSRya48bUqyiURWP+uecaXX6IfaQXSje+r3RjVbYh3x
50bTLHStuUsIFaoMR2Ea5qKp4W1ymzo8ZNjuS6aH0QIdDGq8hjwJ6L8wEQjdr6yjmDtGC9liBpEa
wWFR+3ieiPH0JudbowHKALZhzho9oOgNnZaJdumhW+XHgZsUR2IqFQIKhtIJ9q8sxv661Fg0hV5g
wiF+9iJQJXLdY9ohmMWac+IMih5Te+QQDxXfYaLm3rwrx2s46HhqapM5tQtXbq5HWzsKOlrXlhqn
RPMu3iim8QCD1z1h4J2NCC0ksfk3WclKVMHcadn1tPPlYEmaQHNH8pdyKoUzyYrSqSxnjL/Jh4qM
UAM8ds4SybIB7UV7k4TFid1n7SSvwnzO7P3K9IZhpjb0lbykv4W24Aj5PgRnamYjTa3+VglCS7lU
iL5GMAAJ0eixnkIn3EPE461i1fG1WRR1n1WbeXMI+So/+MQ2uPW5WlteNzcDQ1uYbiKnNxaDcdmM
IbRRg0U3FkOJdmJdSK4fmJCaQmWkFb33haHmeRVzhCa6r7tnOfPlwE+aqd2RM+OFfMvxrv1CFqxu
Rn8Jzd4R8IoAiSyr1RgotWOcvY1U6KqxZDjaigD+oSmNvDiZVYMG9ikGo2H2xaEcaupd1MlycBrD
hYGdiX2aS6Z1L3sod04jcyhBJNJfcUZo3nSjgMlWtbwbubbi6ovqth4jA9qoQjQmJ6b7FRI5Xz+V
kfSUJrHTQ0/8r7t8cpd4j9+7yy8gzLY4S/7mxVkCwcPhwb6pQHcJuRHVlh91efVAR0fZgBrHlKkU
4WJ/VoOoyusUiIiBwFe8rQZpiiablG4ciD1Fof9vOcv34RZNY536DlVFGtEOb+J1uFWX1KBjNYSA
osbt5cimWW55U6uJPw2FotqopNlN0CoxtyZJriuhvMZQNhnR6CIHBCDBc4RAW6FrZ4LtZ8797KeD
FQJdodBbC2U35lu/OQ1ab9lAdB0J/TcHOu4pJQtr6jRudqMjE1fKnPMa4bg28LPzxCsARHeoypEw
pYcN8+1zr0VzrlKU20So0MVkRYehox3mRrPSEKrzChTreqFdB7tBcB4LPTt8D9wzZrd0kLpD9zO4
LaDoP/WFDh6Mz+DKIqYdFbbgHCC4i9ha7SxJj0RUD+S4TuDG73LLmaEO6iyZwmYu1bPusioX/Ysw
nqRNctIUVLAdCkE0yxGWa6ZOZsBv7edHcqOjbezJc9Vrj6JSgm/P/sRunmYZqgJyzZgregvJJI38
r0ark1I7/YRp989eEX0ujTSe576HFLUXXNc6mSQ5EvrxKdgl00OQcIR3RzKTjeb58aRPzSOzBPJW
j1DrO0bI6K1keAvf7SAbNcYvfNFwhpr5dSa5ZzolfxvOeA3GQD6J9uAO1YVUpe1JZNO4L2sGIAvG
WLXRASjgjmdGxlda5/0Mdd6LKNG+qVr5eeyie8mF/yDz/aMo7s/NDkFGCx57IJGUn6VOXcEVwFQi
woezznPOgU/UUzURyRG1mz6hqMOgwgRFgS+5N17qun4cFkzaSv0ogS2IGFdHumBq2kVkn0OaHWrf
RO4wrCyCgLlF7xSQ5ZhMS6X0ZlCAUh+yjI1EtSZobJrn0kDi6UIG4ITGKdHfETJW5cQy4FhRE+VE
s9DSiFvoOl1ZARFk2MHhYERwLDIeTPMZYmjDaKetXQIL8yIwhVDxDz6850ECSDALnQUBIY47Gtnk
oHJXjCsxRWBQ8ui44FP4C5aIVl/FaQruM9BXve2gOADl603qwwnh6vpSydIe6nlINcDwJpAqd8gf
yulEG9zNMKjLAH3QVWQYN2XtflUhWZpakTa1LOdMr4wYsm2D2kjXyGCvzJVkl/q5VQ+A1umGTFFE
hLi01K/bKMumbm2cyEGHbBfN+6ksGUcl/acjZciOCz1WVkUGNz5NcEgS7irFPZc6b0Ebo18QFh7W
qLKReyblYTVEOUwS/swu4m9+bCzsLOeqc03y3OrZ2ORr7ldHvdXlq0iy7BmZpXLuUwklHqLNBt++
d4QuADSgtnvWFhIimo5J+cwZJzHqpoQEVDPdvL8clApYH3CGo2IY4SZSVXcpFzXc1VWmHw6e68xk
qahWeZEeez5VkMFrtKPK9Ea4PBXpUM/g2siK/NKUnHIxRsORJHt3uZRoF2oIIwDWL1pJge5MfaCP
EgGw13uM0oX5l8IKve9VCk7S5xpfWmG4YSy4Vpk61+py8q//fPKfOJw/+M/m25ZuisHfvPKfuE+a
JXQrnhDnP/2ncoCmjwzxCy0VcsdX/tPhJzhb0k2VX6H7/RNzZR/giDUFIjt4iWwA8H/Hf2ryr8km
z4BYxRSpLWPJ0Be89Z9xXdYyoEH5vA6zO9dJjUMz0qRjFRqqCVl0fmlgzkXhzjnrIyi0MlBCzIzr
R2VmpJRd+gJpBcc4KUtAFdwIIf1uHrZdcx3bfX5ajtI0b2UdLq57pY3kmZp0S5o1Lrro3cpx7QUa
A/IsJ8dphPRd6iDRa3UI96blUg/89KbwPHRf8/zehAsha/LbUkHLVIdiYGJ6xX08ONEsq/QUrFa3
7PO+h80189NL6MEPlVDXLyTNPHbNzpnXnexOk05iuhjSZ8icIfx367XVePduYsOoOgAb8Ya8WNmp
g1RhJl2B4IwvHOA4QFeBocNlQjkVmfOZGyA/4kkAolJ3QNVIh33Z0R6qwIQevziz6wA8jR/dBap2
U2dOPpNCdZNHRo8KondbkhUE3PrGlHxwt8qSqtsDdjiF+8KHAKq/TGU6sTDMJql3HI7OjQJMCtpg
uialKt/kVqhORr6E2s/raey66ZS28HpoKqj4rOqOHjoFZLgeJgWJV6fLF3asKzDJBZeBAw+llMBd
czQMMLoNaf5dLvH0ZnqGPz1uh8xbaWF11Zj0P3pDBuJQJtXUMuNJaCKGZOXxzBrpshWSRIU+dVSA
Xk4dVxEYrDKZB2llnztqPhzGqa1OUJpYKYDegJGWG7VoEf4YLe9SalCBHQPj3lHb6KwY1O9xZgzm
BISFPAP46pwhsMBYcAq7jRvBSQM/QLRISSaOvCg79xkumMqxfQ5Ovp6aJn1xb8gg5wOIXynUDEr1
jCZyCn00yoV1AAROaRg5UAw4NfqWjpHSfDVz/1MUgc0vG9htVB81LZWJhMpjc2N0tSa0lD5ZAc09
N/uWAIdqFE0/0lPpUrHz78hhzSEjPGyK3p6mkVlO5brUVmZcrHIzOeprA2oQ7XxQonMy6x6yczoA
chZ+ljv31kikallHDsx7knVb1h70YYp64uYqMYcNGVtRJOGkkeWrZKiPZJxXEYVXQYDydBN/gYnv
G9q7GVzaChwbVXtml1EzAz9PICOnp4bN5hq6dNTGINdNWcxgoNE8o2V1Airu3ob8b1bVw+dcg4Sm
VZjTrsgcs3qEvQumrMgdZXpq8lkXd9989npuark7Tc2goISU32lpfuoQCZt2tghBjUAS5d7XMpzU
JUUkKe6KaW/hraOwgXorKqaDA69bOhgPtWjfFSpayHZ4UrilOg3yJJrCxgiRUfXVDotjgupbJRo/
KdDA8f4I3gSGsXNOS4F75g3PvLHt4CiK4LsgV0cr+6pytK9D7eTnAEXiadBL/RFCRtIqS7pyloKq
aSMAkcBP/Dy6ss3UYDpFp1Wla261ci1WGUvfWCZoSsD+2MxCDemLJFEvQxkhDhtEELWOapxImRVN
mUpmftCOW0De1jn1dhokHXTvjNZAa+T1l6Eq01U25Ht7VJ6nff8/QDg/v8WtOn4/6pvip4/yuzfZ
O7G//+iXXnLB7Qv9LWFAmVT1jed+fGOP0oR/XCdeI2HYPCA9qNlCFlBFyI+yr3jhoeMMpM/TjyWo
7w5w7I6AhL0Ol7a/+avNr3qIv9upD9wEgaHecRNU0Hcwoj0yYL359NTR4YO2iUaolovXnu6B/Csk
5p8cBIuhQXL0pw8qPuqbreAgICZAPPaoM4wgyD5sxevCjsFX9A9OAh/z521gEMDQ8aVgMR9ffMg3
m0DzBA1NuIqoFT2+9mETuLKbR03S1cN//9cTr7RoqOx4J4A0UQ0Djsq3Ll40g95shaoeEAuAn1L4
Cc96ZTz/2aX/T4zHH63a200QfOg7b4J1YNMJYzjk+VZwzX7dBBXiaUtgZfdwDyhrPl3TJ+zZD6P9
Nz0EWDkoKW1m299+eCyCpapI2T/dlr2wCFsug7a7caSdin/QIb1/sgv43bdbwRS3A7u647DlvPZ1
K0RuvLNdoA5NGm2IC8brV7uAibR4ATTkvOznnXi6rLvcCXroCiERZf/tmyBaCjgSRRGaWXu5Cfru
J0GnN8JMgoW3fHr9cimEs0TdS0eN4uXne7kV8tNB3e08QBGNIIbydP3fR9FiisNmH57nSPbNWRpw
RexsGSwwIjI1QJuw4fH1y3kgYuDAKIat7W0YvfMm6MoBfgK3KGIn8XoXMeiQeugaEcPehgxP8dwu
1wEgESAhg17a0yb8mksIH4GwIJO6T3Hq/l0HeffYER9B5xhaZQ7V22CByJm6sqU947z279MLFpjd
wgRm00QzQNfff3qdlJr2OFH10+HYUwep7rwHmiVYemid2s9RI7HAm4PANYCA1LJVCziceO3pVjxn
eLtZBKpMHHjr2UH+uhVUFxiMZ7tEH2gvowTlKZLbZRMoM1FiMgBQbs8iFOMAGijMJunWPmcRyu4J
lX7AQLqq2fpzXe1dFmEfwHxF4gntwl5vxe65BIRdMtJcwIuejMA7ZylKtI5pElft69XYvQxtHEB2
KfKpp5MvEuhfTaUoR8Fn9nT29s9nGrtnEYSGsK1p8u9KbvgLqi2KjCzbnp4EfffY0Tpg0p3YCHa7
xxcX7M1JILWmS4FtAFa3p55i95NgHnDQKSy+mMd3NoHUmp9RXtjX6/Ac2e/iLp0DEiXsPwXG7SdB
BSdiKAzp7mtrSkBNdo6jdUptQh/+6fWu8kh/TswkU4fZ0+sgSNR32wSNlAG7SBfu+ST8ugm06VSH
cRKhaLSfwePTG9vlNlCCFhPrVGqewgSs31u7qDK4rohy3L7axeda6C6b4BwoIkqyYMx+fP0aJqga
1RULgVFRd9nLk/Bc9tllE6wDwOWOCWPZb06CTN4Jek4Byy1eT4nL/kVMgtZgN8NAtU13HqfInivM
70ot8gFdG6r0ytOz9m8T3tEI//3OPeeBRAkv+bvzoByQOyiI7OxrtU3d3UWQL9Jy+nEn3tVdReys
UpkmnNhXy7B7z948MC0TtKv8DOb51U8SOzPVBnH03varBWHibjYBRBNboBMOsNRbD0ltHolsAMB7
axF3DxMgqSEMAqbzjGDZcgSoNJBEqj+qDfvpJ3cOnTkIqlAFJ0l6dIMCLPf2PMCvTuQsU5/dU5Og
P3mtHYIF6vA04oGwab/D90GFxKQ40977mkQJtfgdTQIlNoNBeArQPw7925NAHCEz5qbsLcjxuey1
w0nQcICmKuj9nkvw764DhRWFBrXu7OtJEIQEO54EeBaFcYSAcXvsTCYJx7gMM8K++gih/bjjJtB2
YuIGqOdze5Zc6e11gFgSBwIP5b4GjILQYsdN0GDIkKF6ey44v684E1aL4SR4NR+ftX+pg7Z778HG
OwDn0kF4P77enQSRYIn/UZvf51RSMHbveB4MggHVxACCYXn+qL9eCpOzAqRrb8/D7tHjY8eaMbkX
R/nuPBAyqaSSznPaun+X4h2N/N/Pp01RaYOdBqH6x9eWShtoWI7J3jpKffd8GvQKc5uANJ4u/vvg
WT7gh8D/7P1GvD7XPHYInASkC81WjMPLaMSv7lJllJXGPQCGPfUUz2HtDpsgkimDwEkUF7abRxCO
usNh2NsQWt/dPFJ+1lSVaannwOmdZaC+IrZpf0NoQVOyo6O0D6DNNMmsf1dkepymYtxaDAzwrP3z
EUIVb7dNIK0GpGOCYfkNwhGsK/hw8kkG6J6jif3cip0DaYH0o1lNZ+rZXW6JGUSRBRT4vqZU7/j2
/knMQG9SfNe/HxyDFJMqvGAX2s+TsHuZRZAO0ofF/P3GR8jUmlQFtda93YTdq46iRamA4aPT8Pja
gl8xQCzYFOX+85PwH9jQH7PHUz+IHx5Hk4NN9Tjp9TRZ93/+wstM7vsFXs0XPk5ZvvnNmyHfPK39
NIAn/vt/1g+oA82Cqi6D+1p99AGvfvriEx6f9Pz3zx/x/cPfPOzlc7384zLYlOvyHiKCxwnI5zd6
tk6Ybf7fmP97WP86HSkqPy//Jp793//19s2+8g1/Xj0P0s3LQq9GL3EuPz/qP108WT9k5ctCrxbH
hO68+ATO921vnJO689rTdbxu+Uqql7VevXfO++7rZ3FTvftKSUGINT5g8bQu139Ns6re9giKYTs/
YraJ/zrLyq37j+3Zef15/NcsKzk8L2u92n8c887rL8pNlW5bnFB458UP402avqzz6o1/xHVdNsm3
LH6o3y8vhh12fuurJN+UwTp+Wernuxe48d2XT4ctm658xI093pRb9lzgJXZ+18dB6m0xBMpH3NWT
dbTFhgnU4c5v+2RdVZtte/IRF/Qkq/7639TbxJttO/MRV/R0/YABftmHVwfxI67o6boMtm3NR1xR
sXaebbPuYhZn56/1dJM+ZPfBNuslkGkfsH55v3l4WejnvgvE1+6LZ7z3l3Verf0R1/QUxZwtS3/E
LWXpelNuhi3Lf8RNPVvnWw666GTvvOFnm3b9PnY0YLv/gMXPyzUm4GWhV1/nR1zRi3h9v9kSO4q+
xc7bchE3ybbgTnQld178KiB0rIKHLTsjGn47r3+9vi9JCdJ6y3EXzbQPeED612QDofa2B3zEVb1e
iweU6bp82GrIBNb6Qz7FLNh42z7ER9xa8SEW3ID7oLrf9oyPuL7iGUfZumi2eStBCPIhu3TSBNVf
59+CKt/2OT7iMovPcbquN9vW/4j7zPr1+q/Juvy23hYzCJaIj9gpnjFFtWKLsRaNxI96wu/VoR+L
Azsk+9f+emtOKABau797ahhbt+ZDLvOfpUl33pgsXm+LHkQXaPeN+ZOU387vvF5D9hyvm+rlnf70
w2KMbfd3L8osW/yw6EPtvPjNxl9vUzkUrY3dFyfGD+otQZvxEZf1j/o1u36rNw0FomRbXU4U3nfe
mU+s0Gy7q2L6c+fV/yBVsOu+fPk9i/Ofl95Wlv3R03tfrH0hcdv2Z29r0eI37uPNuvyf/wcAAP//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9525</xdr:rowOff>
    </xdr:from>
    <xdr:to>
      <xdr:col>26</xdr:col>
      <xdr:colOff>190500</xdr:colOff>
      <xdr:row>44</xdr:row>
      <xdr:rowOff>9525</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187325"/>
          <a:ext cx="13220700" cy="7645400"/>
        </a:xfrm>
        <a:prstGeom prst="rect">
          <a:avLst/>
        </a:prstGeom>
        <a:solidFill>
          <a:schemeClr val="tx2">
            <a:lumMod val="25000"/>
            <a:lumOff val="75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1</xdr:row>
      <xdr:rowOff>9525</xdr:rowOff>
    </xdr:from>
    <xdr:to>
      <xdr:col>4</xdr:col>
      <xdr:colOff>9525</xdr:colOff>
      <xdr:row>44</xdr:row>
      <xdr:rowOff>9525</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9525" y="190500"/>
          <a:ext cx="1981200" cy="7781925"/>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180939</xdr:colOff>
      <xdr:row>1</xdr:row>
      <xdr:rowOff>63329</xdr:rowOff>
    </xdr:from>
    <xdr:to>
      <xdr:col>2</xdr:col>
      <xdr:colOff>1498599</xdr:colOff>
      <xdr:row>3</xdr:row>
      <xdr:rowOff>114300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0939" y="241129"/>
          <a:ext cx="1546261" cy="406571"/>
        </a:xfrm>
        <a:prstGeom prst="rect">
          <a:avLst/>
        </a:prstGeom>
      </xdr:spPr>
    </xdr:pic>
    <xdr:clientData/>
  </xdr:twoCellAnchor>
  <xdr:twoCellAnchor>
    <xdr:from>
      <xdr:col>1</xdr:col>
      <xdr:colOff>0</xdr:colOff>
      <xdr:row>5</xdr:row>
      <xdr:rowOff>4940</xdr:rowOff>
    </xdr:from>
    <xdr:to>
      <xdr:col>3</xdr:col>
      <xdr:colOff>19050</xdr:colOff>
      <xdr:row>6</xdr:row>
      <xdr:rowOff>152401</xdr:rowOff>
    </xdr:to>
    <xdr:sp macro="" textlink="Pivots!G4">
      <xdr:nvSpPr>
        <xdr:cNvPr id="5" name="TextBox 4">
          <a:extLst>
            <a:ext uri="{FF2B5EF4-FFF2-40B4-BE49-F238E27FC236}">
              <a16:creationId xmlns:a16="http://schemas.microsoft.com/office/drawing/2014/main" id="{E11CC5E5-DEDD-7911-8A12-8BE501A4E8C3}"/>
            </a:ext>
          </a:extLst>
        </xdr:cNvPr>
        <xdr:cNvSpPr txBox="1"/>
      </xdr:nvSpPr>
      <xdr:spPr>
        <a:xfrm>
          <a:off x="0" y="909815"/>
          <a:ext cx="1771650" cy="328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rPr>
            <a:t>    </a:t>
          </a:r>
          <a:fld id="{F04D84D8-1653-42F7-9CD6-27B250D7A2F2}"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rPr>
            <a:pPr algn="l"/>
            <a:t>2,400</a:t>
          </a:fld>
          <a:endParaRPr lang="en-IN" sz="1800" b="1">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1</xdr:col>
      <xdr:colOff>0</xdr:colOff>
      <xdr:row>8</xdr:row>
      <xdr:rowOff>160865</xdr:rowOff>
    </xdr:from>
    <xdr:to>
      <xdr:col>2</xdr:col>
      <xdr:colOff>990600</xdr:colOff>
      <xdr:row>10</xdr:row>
      <xdr:rowOff>123824</xdr:rowOff>
    </xdr:to>
    <xdr:sp macro="" textlink="Pivots!H4">
      <xdr:nvSpPr>
        <xdr:cNvPr id="7" name="TextBox 6">
          <a:extLst>
            <a:ext uri="{FF2B5EF4-FFF2-40B4-BE49-F238E27FC236}">
              <a16:creationId xmlns:a16="http://schemas.microsoft.com/office/drawing/2014/main" id="{7999E39F-16C9-4BF9-8F82-62719477E035}"/>
            </a:ext>
          </a:extLst>
        </xdr:cNvPr>
        <xdr:cNvSpPr txBox="1"/>
      </xdr:nvSpPr>
      <xdr:spPr>
        <a:xfrm>
          <a:off x="0" y="1608665"/>
          <a:ext cx="1219200" cy="32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r>
            <a:rPr lang="en-US" sz="1800" b="1" i="0" u="none" strike="noStrike" baseline="0">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fld id="{D9424805-8EA9-4037-857C-D1A7480A70F1}"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11,997</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8965</xdr:colOff>
      <xdr:row>12</xdr:row>
      <xdr:rowOff>123680</xdr:rowOff>
    </xdr:from>
    <xdr:to>
      <xdr:col>3</xdr:col>
      <xdr:colOff>28015</xdr:colOff>
      <xdr:row>14</xdr:row>
      <xdr:rowOff>86286</xdr:rowOff>
    </xdr:to>
    <xdr:sp macro="" textlink="Pivots!I4">
      <xdr:nvSpPr>
        <xdr:cNvPr id="8" name="TextBox 7">
          <a:extLst>
            <a:ext uri="{FF2B5EF4-FFF2-40B4-BE49-F238E27FC236}">
              <a16:creationId xmlns:a16="http://schemas.microsoft.com/office/drawing/2014/main" id="{8DA9E14F-0DC1-4E29-98C6-B7E50E073DDD}"/>
            </a:ext>
          </a:extLst>
        </xdr:cNvPr>
        <xdr:cNvSpPr txBox="1"/>
      </xdr:nvSpPr>
      <xdr:spPr>
        <a:xfrm>
          <a:off x="8965" y="2275209"/>
          <a:ext cx="1776132" cy="321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r>
            <a:rPr lang="en-US" sz="1800" b="1" i="0" u="none" strike="noStrike" baseline="0">
              <a:solidFill>
                <a:srgbClr val="FFC000"/>
              </a:solidFill>
              <a:effectLst>
                <a:outerShdw blurRad="50800" dist="38100" dir="2700000" algn="tl" rotWithShape="0">
                  <a:prstClr val="black">
                    <a:alpha val="40000"/>
                  </a:prstClr>
                </a:outerShdw>
              </a:effectLst>
              <a:latin typeface="Aptos Narrow"/>
              <a:ea typeface="+mn-ea"/>
              <a:cs typeface="+mn-cs"/>
            </a:rPr>
            <a:t> </a:t>
          </a:r>
          <a:fld id="{A7286D5E-585B-45B9-B7D9-ECA13AAF82ED}" type="TxLink">
            <a:rPr lang="en-US" sz="1800" b="1" i="0" u="none" strike="noStrike">
              <a:solidFill>
                <a:srgbClr val="FFC000"/>
              </a:solidFill>
              <a:effectLst>
                <a:outerShdw blurRad="50800" dist="38100" dir="2700000" algn="tl" rotWithShape="0">
                  <a:prstClr val="black">
                    <a:alpha val="40000"/>
                  </a:prstClr>
                </a:outerShdw>
              </a:effectLst>
              <a:latin typeface="Aptos Narrow"/>
              <a:ea typeface="+mn-ea"/>
              <a:cs typeface="+mn-cs"/>
            </a:rPr>
            <a:pPr marL="0" indent="0" algn="l"/>
            <a:t>$649,020</a:t>
          </a:fld>
          <a:endParaRPr lang="en-IN" sz="1800" b="1" i="0" u="none" strike="noStrike">
            <a:solidFill>
              <a:srgbClr val="FFC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16</xdr:row>
      <xdr:rowOff>177448</xdr:rowOff>
    </xdr:from>
    <xdr:to>
      <xdr:col>3</xdr:col>
      <xdr:colOff>19050</xdr:colOff>
      <xdr:row>18</xdr:row>
      <xdr:rowOff>123826</xdr:rowOff>
    </xdr:to>
    <xdr:sp macro="" textlink="Pivots!J4">
      <xdr:nvSpPr>
        <xdr:cNvPr id="9" name="TextBox 8">
          <a:extLst>
            <a:ext uri="{FF2B5EF4-FFF2-40B4-BE49-F238E27FC236}">
              <a16:creationId xmlns:a16="http://schemas.microsoft.com/office/drawing/2014/main" id="{16663FF0-6E6E-41C0-8819-DF7F0B2B0D60}"/>
            </a:ext>
          </a:extLst>
        </xdr:cNvPr>
        <xdr:cNvSpPr txBox="1"/>
      </xdr:nvSpPr>
      <xdr:spPr>
        <a:xfrm>
          <a:off x="0" y="3073048"/>
          <a:ext cx="1771650" cy="30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r>
            <a:rPr lang="en-US" sz="1800" b="1" i="0" u="none" strike="noStrike" baseline="0">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fld id="{493F7192-E7AF-4841-96C4-E0F202D7A845}"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4.0</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9525</xdr:colOff>
      <xdr:row>21</xdr:row>
      <xdr:rowOff>19051</xdr:rowOff>
    </xdr:from>
    <xdr:to>
      <xdr:col>2</xdr:col>
      <xdr:colOff>1381125</xdr:colOff>
      <xdr:row>22</xdr:row>
      <xdr:rowOff>161925</xdr:rowOff>
    </xdr:to>
    <xdr:sp macro="" textlink="Pivots!K4">
      <xdr:nvSpPr>
        <xdr:cNvPr id="10" name="TextBox 9">
          <a:extLst>
            <a:ext uri="{FF2B5EF4-FFF2-40B4-BE49-F238E27FC236}">
              <a16:creationId xmlns:a16="http://schemas.microsoft.com/office/drawing/2014/main" id="{CCB9476E-F199-49C8-8A92-30C90D2B0676}"/>
            </a:ext>
          </a:extLst>
        </xdr:cNvPr>
        <xdr:cNvSpPr txBox="1"/>
      </xdr:nvSpPr>
      <xdr:spPr>
        <a:xfrm>
          <a:off x="9525" y="3819526"/>
          <a:ext cx="160020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r>
            <a:rPr lang="en-US" sz="1800" b="1" i="0" u="none" strike="noStrike" baseline="0">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 </a:t>
          </a:r>
          <a:fld id="{B264135D-E073-42E7-886F-6F4307FC3B49}"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2.3</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3</xdr:row>
      <xdr:rowOff>152399</xdr:rowOff>
    </xdr:from>
    <xdr:to>
      <xdr:col>2</xdr:col>
      <xdr:colOff>933450</xdr:colOff>
      <xdr:row>5</xdr:row>
      <xdr:rowOff>114300</xdr:rowOff>
    </xdr:to>
    <xdr:sp macro="" textlink="">
      <xdr:nvSpPr>
        <xdr:cNvPr id="14" name="TextBox 13">
          <a:extLst>
            <a:ext uri="{FF2B5EF4-FFF2-40B4-BE49-F238E27FC236}">
              <a16:creationId xmlns:a16="http://schemas.microsoft.com/office/drawing/2014/main" id="{63271026-9843-2C7F-7581-E758EAA0B4DC}"/>
            </a:ext>
          </a:extLst>
        </xdr:cNvPr>
        <xdr:cNvSpPr txBox="1"/>
      </xdr:nvSpPr>
      <xdr:spPr>
        <a:xfrm>
          <a:off x="0" y="695324"/>
          <a:ext cx="11620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US" sz="1400" b="1" i="0">
              <a:solidFill>
                <a:schemeClr val="dk1"/>
              </a:solidFill>
              <a:effectLst>
                <a:outerShdw blurRad="50800" dist="38100" dir="2700000" algn="tl" rotWithShape="0">
                  <a:srgbClr val="000000">
                    <a:alpha val="40000"/>
                  </a:srgbClr>
                </a:outerShdw>
              </a:effectLst>
              <a:latin typeface="+mn-lt"/>
              <a:ea typeface="+mn-ea"/>
              <a:cs typeface="+mn-cs"/>
            </a:rPr>
            <a:t>🛒</a:t>
          </a:r>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IN"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Orders</a:t>
          </a:r>
        </a:p>
      </xdr:txBody>
    </xdr:sp>
    <xdr:clientData/>
  </xdr:twoCellAnchor>
  <xdr:twoCellAnchor>
    <xdr:from>
      <xdr:col>1</xdr:col>
      <xdr:colOff>19050</xdr:colOff>
      <xdr:row>11</xdr:row>
      <xdr:rowOff>89605</xdr:rowOff>
    </xdr:from>
    <xdr:to>
      <xdr:col>2</xdr:col>
      <xdr:colOff>1095374</xdr:colOff>
      <xdr:row>13</xdr:row>
      <xdr:rowOff>133350</xdr:rowOff>
    </xdr:to>
    <xdr:sp macro="" textlink="">
      <xdr:nvSpPr>
        <xdr:cNvPr id="21" name="TextBox 20">
          <a:extLst>
            <a:ext uri="{FF2B5EF4-FFF2-40B4-BE49-F238E27FC236}">
              <a16:creationId xmlns:a16="http://schemas.microsoft.com/office/drawing/2014/main" id="{0163906D-4E52-B99E-7391-A20D66644125}"/>
            </a:ext>
          </a:extLst>
        </xdr:cNvPr>
        <xdr:cNvSpPr txBox="1"/>
      </xdr:nvSpPr>
      <xdr:spPr>
        <a:xfrm>
          <a:off x="19050" y="2080330"/>
          <a:ext cx="1304924" cy="40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US" sz="1400" b="1" i="0">
              <a:solidFill>
                <a:schemeClr val="dk1"/>
              </a:solidFill>
              <a:effectLst>
                <a:outerShdw blurRad="50800" dist="38100" dir="2700000" algn="tl" rotWithShape="0">
                  <a:srgbClr val="000000">
                    <a:alpha val="40000"/>
                  </a:srgbClr>
                </a:outerShdw>
              </a:effectLst>
              <a:latin typeface="+mn-lt"/>
              <a:ea typeface="+mn-ea"/>
              <a:cs typeface="+mn-cs"/>
            </a:rPr>
            <a:t>💰</a:t>
          </a:r>
          <a:r>
            <a:rPr lang="en-US" sz="1100" b="1" i="0">
              <a:gradFill>
                <a:gsLst>
                  <a:gs pos="0">
                    <a:schemeClr val="bg1"/>
                  </a:gs>
                  <a:gs pos="81000">
                    <a:schemeClr val="bg1">
                      <a:lumMod val="75000"/>
                    </a:schemeClr>
                  </a:gs>
                </a:gsLst>
                <a:lin ang="5400000" scaled="1"/>
              </a:gra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Amount</a:t>
          </a:r>
          <a:endParaRPr lang="en-IN"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15</xdr:row>
      <xdr:rowOff>124882</xdr:rowOff>
    </xdr:from>
    <xdr:to>
      <xdr:col>2</xdr:col>
      <xdr:colOff>1228724</xdr:colOff>
      <xdr:row>17</xdr:row>
      <xdr:rowOff>133349</xdr:rowOff>
    </xdr:to>
    <xdr:sp macro="" textlink="">
      <xdr:nvSpPr>
        <xdr:cNvPr id="28" name="TextBox 27">
          <a:extLst>
            <a:ext uri="{FF2B5EF4-FFF2-40B4-BE49-F238E27FC236}">
              <a16:creationId xmlns:a16="http://schemas.microsoft.com/office/drawing/2014/main" id="{541E9AFB-033F-990F-C83E-C51B3AE01144}"/>
            </a:ext>
          </a:extLst>
        </xdr:cNvPr>
        <xdr:cNvSpPr txBox="1"/>
      </xdr:nvSpPr>
      <xdr:spPr>
        <a:xfrm>
          <a:off x="0" y="2839507"/>
          <a:ext cx="1457324"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US" sz="1400" b="1" i="0">
              <a:solidFill>
                <a:schemeClr val="dk1"/>
              </a:solidFill>
              <a:effectLst>
                <a:outerShdw blurRad="50800" dist="38100" dir="2700000" algn="tl" rotWithShape="0">
                  <a:srgbClr val="000000">
                    <a:alpha val="40000"/>
                  </a:srgbClr>
                </a:outerShdw>
              </a:effectLst>
              <a:latin typeface="+mn-lt"/>
              <a:ea typeface="+mn-ea"/>
              <a:cs typeface="+mn-cs"/>
            </a:rPr>
            <a:t>⭐</a:t>
          </a:r>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Avg</a:t>
          </a:r>
          <a:r>
            <a:rPr lang="en-US" sz="1100" b="1" i="0">
              <a:gradFill>
                <a:gsLst>
                  <a:gs pos="0">
                    <a:schemeClr val="bg1"/>
                  </a:gs>
                  <a:gs pos="81000">
                    <a:schemeClr val="bg1">
                      <a:lumMod val="75000"/>
                    </a:schemeClr>
                  </a:gs>
                </a:gsLst>
                <a:lin ang="5400000" scaled="1"/>
              </a:gra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Rating</a:t>
          </a:r>
          <a:endParaRPr lang="en-IN"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19</xdr:row>
      <xdr:rowOff>156986</xdr:rowOff>
    </xdr:from>
    <xdr:to>
      <xdr:col>3</xdr:col>
      <xdr:colOff>104774</xdr:colOff>
      <xdr:row>21</xdr:row>
      <xdr:rowOff>123825</xdr:rowOff>
    </xdr:to>
    <xdr:sp macro="" textlink="">
      <xdr:nvSpPr>
        <xdr:cNvPr id="29" name="TextBox 28">
          <a:extLst>
            <a:ext uri="{FF2B5EF4-FFF2-40B4-BE49-F238E27FC236}">
              <a16:creationId xmlns:a16="http://schemas.microsoft.com/office/drawing/2014/main" id="{24B04B75-F628-B6EC-A0C7-465776874B17}"/>
            </a:ext>
          </a:extLst>
        </xdr:cNvPr>
        <xdr:cNvSpPr txBox="1"/>
      </xdr:nvSpPr>
      <xdr:spPr>
        <a:xfrm>
          <a:off x="0" y="3595511"/>
          <a:ext cx="1857374" cy="328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US" sz="1400" b="1" i="0">
              <a:solidFill>
                <a:schemeClr val="dk1"/>
              </a:solidFill>
              <a:effectLst>
                <a:outerShdw blurRad="50800" dist="38100" dir="2700000" algn="tl" rotWithShape="0">
                  <a:srgbClr val="000000">
                    <a:alpha val="40000"/>
                  </a:srgbClr>
                </a:outerShdw>
              </a:effectLst>
              <a:latin typeface="+mn-lt"/>
              <a:ea typeface="+mn-ea"/>
              <a:cs typeface="+mn-cs"/>
            </a:rPr>
            <a:t>📅</a:t>
          </a:r>
          <a:r>
            <a:rPr lang="en-US" sz="1100" b="1" i="0">
              <a:gradFill>
                <a:gsLst>
                  <a:gs pos="0">
                    <a:schemeClr val="bg1"/>
                  </a:gs>
                  <a:gs pos="81000">
                    <a:schemeClr val="bg1">
                      <a:lumMod val="75000"/>
                    </a:schemeClr>
                  </a:gs>
                </a:gsLst>
                <a:lin ang="5400000" scaled="1"/>
              </a:gra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Days</a:t>
          </a:r>
          <a:r>
            <a:rPr lang="en-US" sz="1100" b="1" i="0">
              <a:gradFill>
                <a:gsLst>
                  <a:gs pos="0">
                    <a:schemeClr val="bg1"/>
                  </a:gs>
                  <a:gs pos="81000">
                    <a:schemeClr val="bg1">
                      <a:lumMod val="75000"/>
                    </a:schemeClr>
                  </a:gs>
                </a:gsLst>
                <a:lin ang="5400000" scaled="1"/>
              </a:gra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to</a:t>
          </a:r>
          <a:r>
            <a:rPr lang="en-US" sz="1100" b="1" i="0">
              <a:gradFill>
                <a:gsLst>
                  <a:gs pos="0">
                    <a:schemeClr val="bg1"/>
                  </a:gs>
                  <a:gs pos="81000">
                    <a:schemeClr val="bg1">
                      <a:lumMod val="75000"/>
                    </a:schemeClr>
                  </a:gs>
                </a:gsLst>
                <a:lin ang="5400000" scaled="1"/>
              </a:gra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Deliver</a:t>
          </a:r>
          <a:endParaRPr lang="en-IN"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7</xdr:row>
      <xdr:rowOff>127352</xdr:rowOff>
    </xdr:from>
    <xdr:to>
      <xdr:col>2</xdr:col>
      <xdr:colOff>1057274</xdr:colOff>
      <xdr:row>9</xdr:row>
      <xdr:rowOff>85725</xdr:rowOff>
    </xdr:to>
    <xdr:sp macro="" textlink="">
      <xdr:nvSpPr>
        <xdr:cNvPr id="30" name="TextBox 29">
          <a:extLst>
            <a:ext uri="{FF2B5EF4-FFF2-40B4-BE49-F238E27FC236}">
              <a16:creationId xmlns:a16="http://schemas.microsoft.com/office/drawing/2014/main" id="{F0C289B8-8E8D-6487-383C-8B0C3629B1E5}"/>
            </a:ext>
          </a:extLst>
        </xdr:cNvPr>
        <xdr:cNvSpPr txBox="1"/>
      </xdr:nvSpPr>
      <xdr:spPr>
        <a:xfrm>
          <a:off x="0" y="1394177"/>
          <a:ext cx="1285874" cy="320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baseline="0">
              <a:solidFill>
                <a:schemeClr val="dk1"/>
              </a:solidFill>
              <a:effectLst>
                <a:outerShdw blurRad="50800" dist="38100" dir="2700000" algn="tl" rotWithShape="0">
                  <a:srgbClr val="000000">
                    <a:alpha val="40000"/>
                  </a:srgbClr>
                </a:outerShdw>
              </a:effectLst>
              <a:latin typeface="+mn-lt"/>
              <a:ea typeface="+mn-ea"/>
              <a:cs typeface="+mn-cs"/>
            </a:rPr>
            <a:t>     </a:t>
          </a:r>
          <a:r>
            <a:rPr lang="en-US" sz="1400" b="1" i="0">
              <a:solidFill>
                <a:schemeClr val="dk1"/>
              </a:solidFill>
              <a:effectLst>
                <a:outerShdw blurRad="50800" dist="38100" dir="2700000" algn="tl" rotWithShape="0">
                  <a:srgbClr val="000000">
                    <a:alpha val="40000"/>
                  </a:srgbClr>
                </a:outerShdw>
              </a:effectLst>
              <a:latin typeface="+mn-lt"/>
              <a:ea typeface="+mn-ea"/>
              <a:cs typeface="+mn-cs"/>
            </a:rPr>
            <a:t>🛍️</a:t>
          </a:r>
          <a:r>
            <a:rPr lang="en-US" sz="1100" b="1" i="0">
              <a:solidFill>
                <a:schemeClr val="dk1"/>
              </a:solidFill>
              <a:effectLst>
                <a:outerShdw blurRad="50800" dist="38100" dir="2700000" algn="tl" rotWithShape="0">
                  <a:srgbClr val="000000">
                    <a:alpha val="40000"/>
                  </a:srgbClr>
                </a:outerShdw>
              </a:effectLst>
              <a:latin typeface="+mn-lt"/>
              <a:ea typeface="+mn-ea"/>
              <a:cs typeface="+mn-cs"/>
            </a:rPr>
            <a:t> </a:t>
          </a:r>
          <a:r>
            <a:rPr lang="en-US"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Quantity</a:t>
          </a:r>
          <a:endParaRPr lang="en-IN" sz="15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4</xdr:col>
      <xdr:colOff>95250</xdr:colOff>
      <xdr:row>1</xdr:row>
      <xdr:rowOff>88900</xdr:rowOff>
    </xdr:from>
    <xdr:to>
      <xdr:col>11</xdr:col>
      <xdr:colOff>415290</xdr:colOff>
      <xdr:row>17</xdr:row>
      <xdr:rowOff>123825</xdr:rowOff>
    </xdr:to>
    <xdr:graphicFrame macro="">
      <xdr:nvGraphicFramePr>
        <xdr:cNvPr id="31" name="Chart 30">
          <a:extLst>
            <a:ext uri="{FF2B5EF4-FFF2-40B4-BE49-F238E27FC236}">
              <a16:creationId xmlns:a16="http://schemas.microsoft.com/office/drawing/2014/main" id="{1EFC951E-E9C9-40F9-8A9D-B44E2EBE5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533400</xdr:colOff>
      <xdr:row>1</xdr:row>
      <xdr:rowOff>127001</xdr:rowOff>
    </xdr:from>
    <xdr:to>
      <xdr:col>18</xdr:col>
      <xdr:colOff>472440</xdr:colOff>
      <xdr:row>17</xdr:row>
      <xdr:rowOff>123825</xdr:rowOff>
    </xdr:to>
    <xdr:sp macro="" textlink="">
      <xdr:nvSpPr>
        <xdr:cNvPr id="35" name="Rectangle 34">
          <a:extLst>
            <a:ext uri="{FF2B5EF4-FFF2-40B4-BE49-F238E27FC236}">
              <a16:creationId xmlns:a16="http://schemas.microsoft.com/office/drawing/2014/main" id="{BA1115D6-4B00-3C26-DCDF-9070B9FEB219}"/>
            </a:ext>
          </a:extLst>
        </xdr:cNvPr>
        <xdr:cNvSpPr/>
      </xdr:nvSpPr>
      <xdr:spPr>
        <a:xfrm>
          <a:off x="6400800" y="304801"/>
          <a:ext cx="4206240" cy="2841624"/>
        </a:xfrm>
        <a:prstGeom prst="rect">
          <a:avLst/>
        </a:prstGeom>
        <a:solidFill>
          <a:sysClr val="window" lastClr="FFFFFF"/>
        </a:solidFill>
        <a:ln>
          <a:solidFill>
            <a:schemeClr val="bg1">
              <a:alpha val="96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ysClr val="windowText" lastClr="000000"/>
              </a:solidFill>
            </a:rPr>
            <a:t>How they like to buy ?</a:t>
          </a:r>
          <a:endParaRPr lang="en-IN" sz="1400" b="1">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9524</xdr:colOff>
          <xdr:row>4</xdr:row>
          <xdr:rowOff>149694</xdr:rowOff>
        </xdr:from>
        <xdr:to>
          <xdr:col>18</xdr:col>
          <xdr:colOff>400050</xdr:colOff>
          <xdr:row>15</xdr:row>
          <xdr:rowOff>76200</xdr:rowOff>
        </xdr:to>
        <xdr:pic>
          <xdr:nvPicPr>
            <xdr:cNvPr id="34" name="Picture 33">
              <a:extLst>
                <a:ext uri="{FF2B5EF4-FFF2-40B4-BE49-F238E27FC236}">
                  <a16:creationId xmlns:a16="http://schemas.microsoft.com/office/drawing/2014/main" id="{B6175420-8C12-39DA-694B-505C0C018A5C}"/>
                </a:ext>
              </a:extLst>
            </xdr:cNvPr>
            <xdr:cNvPicPr>
              <a:picLocks noChangeAspect="1" noChangeArrowheads="1"/>
              <a:extLst>
                <a:ext uri="{84589F7E-364E-4C9E-8A38-B11213B215E9}">
                  <a14:cameraTool cellRange="'Order Mode'!$H$4:$L$9" spid="_x0000_s1052"/>
                </a:ext>
              </a:extLst>
            </xdr:cNvPicPr>
          </xdr:nvPicPr>
          <xdr:blipFill>
            <a:blip xmlns:r="http://schemas.openxmlformats.org/officeDocument/2006/relationships" r:embed="rId3"/>
            <a:srcRect/>
            <a:stretch>
              <a:fillRect/>
            </a:stretch>
          </xdr:blipFill>
          <xdr:spPr bwMode="auto">
            <a:xfrm>
              <a:off x="6486524" y="873594"/>
              <a:ext cx="4048126" cy="19172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581024</xdr:colOff>
      <xdr:row>1</xdr:row>
      <xdr:rowOff>127000</xdr:rowOff>
    </xdr:from>
    <xdr:to>
      <xdr:col>26</xdr:col>
      <xdr:colOff>95250</xdr:colOff>
      <xdr:row>17</xdr:row>
      <xdr:rowOff>123825</xdr:rowOff>
    </xdr:to>
    <xdr:graphicFrame macro="">
      <xdr:nvGraphicFramePr>
        <xdr:cNvPr id="36" name="Chart 35">
          <a:extLst>
            <a:ext uri="{FF2B5EF4-FFF2-40B4-BE49-F238E27FC236}">
              <a16:creationId xmlns:a16="http://schemas.microsoft.com/office/drawing/2014/main" id="{7C972C00-F1FF-4A11-BA67-938DF4366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85725</xdr:colOff>
      <xdr:row>18</xdr:row>
      <xdr:rowOff>38100</xdr:rowOff>
    </xdr:from>
    <xdr:to>
      <xdr:col>11</xdr:col>
      <xdr:colOff>405765</xdr:colOff>
      <xdr:row>43</xdr:row>
      <xdr:rowOff>63500</xdr:rowOff>
    </xdr:to>
    <xdr:graphicFrame macro="">
      <xdr:nvGraphicFramePr>
        <xdr:cNvPr id="37" name="Chart 36">
          <a:extLst>
            <a:ext uri="{FF2B5EF4-FFF2-40B4-BE49-F238E27FC236}">
              <a16:creationId xmlns:a16="http://schemas.microsoft.com/office/drawing/2014/main" id="{84CFE68D-C868-4EE1-88A0-46C7A8ED8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466725</xdr:colOff>
      <xdr:row>26</xdr:row>
      <xdr:rowOff>9525</xdr:rowOff>
    </xdr:from>
    <xdr:to>
      <xdr:col>11</xdr:col>
      <xdr:colOff>390525</xdr:colOff>
      <xdr:row>43</xdr:row>
      <xdr:rowOff>38100</xdr:rowOff>
    </xdr:to>
    <xdr:graphicFrame macro="">
      <xdr:nvGraphicFramePr>
        <xdr:cNvPr id="38" name="Chart 37">
          <a:extLst>
            <a:ext uri="{FF2B5EF4-FFF2-40B4-BE49-F238E27FC236}">
              <a16:creationId xmlns:a16="http://schemas.microsoft.com/office/drawing/2014/main" id="{B47AC435-DDFD-4CB7-B3BD-6E5017470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501650</xdr:colOff>
      <xdr:row>18</xdr:row>
      <xdr:rowOff>50800</xdr:rowOff>
    </xdr:from>
    <xdr:to>
      <xdr:col>18</xdr:col>
      <xdr:colOff>476250</xdr:colOff>
      <xdr:row>43</xdr:row>
      <xdr:rowOff>63500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220D2E68-CF22-4C83-82B2-F07CA82AF7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369050" y="3308350"/>
              <a:ext cx="4241800" cy="4537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195439</xdr:colOff>
      <xdr:row>22</xdr:row>
      <xdr:rowOff>171448</xdr:rowOff>
    </xdr:from>
    <xdr:to>
      <xdr:col>18</xdr:col>
      <xdr:colOff>409223</xdr:colOff>
      <xdr:row>33</xdr:row>
      <xdr:rowOff>98777</xdr:rowOff>
    </xdr:to>
    <xdr:sp macro="" textlink="">
      <xdr:nvSpPr>
        <xdr:cNvPr id="43" name="Rectangle 42">
          <a:extLst>
            <a:ext uri="{FF2B5EF4-FFF2-40B4-BE49-F238E27FC236}">
              <a16:creationId xmlns:a16="http://schemas.microsoft.com/office/drawing/2014/main" id="{CAA9EA3A-D977-D0CD-8F3B-B7BD17C20944}"/>
            </a:ext>
          </a:extLst>
        </xdr:cNvPr>
        <xdr:cNvSpPr/>
      </xdr:nvSpPr>
      <xdr:spPr>
        <a:xfrm>
          <a:off x="9071328" y="4207226"/>
          <a:ext cx="1427339" cy="1945218"/>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191628</xdr:colOff>
      <xdr:row>23</xdr:row>
      <xdr:rowOff>28221</xdr:rowOff>
    </xdr:from>
    <xdr:to>
      <xdr:col>18</xdr:col>
      <xdr:colOff>366888</xdr:colOff>
      <xdr:row>33</xdr:row>
      <xdr:rowOff>77963</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7AC34C82-FFD6-41B6-BF97-44F32A3424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67517" y="4247443"/>
              <a:ext cx="1388815" cy="18841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552449</xdr:colOff>
      <xdr:row>18</xdr:row>
      <xdr:rowOff>44450</xdr:rowOff>
    </xdr:from>
    <xdr:to>
      <xdr:col>26</xdr:col>
      <xdr:colOff>95250</xdr:colOff>
      <xdr:row>30</xdr:row>
      <xdr:rowOff>63500</xdr:rowOff>
    </xdr:to>
    <xdr:graphicFrame macro="">
      <xdr:nvGraphicFramePr>
        <xdr:cNvPr id="44" name="Chart 43">
          <a:extLst>
            <a:ext uri="{FF2B5EF4-FFF2-40B4-BE49-F238E27FC236}">
              <a16:creationId xmlns:a16="http://schemas.microsoft.com/office/drawing/2014/main" id="{A896F540-0E39-4E22-9F45-85FB8CE9E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552450</xdr:colOff>
      <xdr:row>30</xdr:row>
      <xdr:rowOff>149225</xdr:rowOff>
    </xdr:from>
    <xdr:to>
      <xdr:col>26</xdr:col>
      <xdr:colOff>104775</xdr:colOff>
      <xdr:row>43</xdr:row>
      <xdr:rowOff>76200</xdr:rowOff>
    </xdr:to>
    <xdr:graphicFrame macro="">
      <xdr:nvGraphicFramePr>
        <xdr:cNvPr id="45" name="Chart 44">
          <a:extLst>
            <a:ext uri="{FF2B5EF4-FFF2-40B4-BE49-F238E27FC236}">
              <a16:creationId xmlns:a16="http://schemas.microsoft.com/office/drawing/2014/main" id="{96B65B59-0013-49B4-B017-85C5534CD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104775</xdr:colOff>
      <xdr:row>24</xdr:row>
      <xdr:rowOff>165735</xdr:rowOff>
    </xdr:from>
    <xdr:to>
      <xdr:col>3</xdr:col>
      <xdr:colOff>135254</xdr:colOff>
      <xdr:row>34</xdr:row>
      <xdr:rowOff>142875</xdr:rowOff>
    </xdr:to>
    <mc:AlternateContent xmlns:mc="http://schemas.openxmlformats.org/markup-compatibility/2006">
      <mc:Choice xmlns:a14="http://schemas.microsoft.com/office/drawing/2010/main" Requires="a14">
        <xdr:graphicFrame macro="">
          <xdr:nvGraphicFramePr>
            <xdr:cNvPr id="46" name="Order Mode 1">
              <a:extLst>
                <a:ext uri="{FF2B5EF4-FFF2-40B4-BE49-F238E27FC236}">
                  <a16:creationId xmlns:a16="http://schemas.microsoft.com/office/drawing/2014/main" id="{FCC1B9CF-18F4-47EA-9BB5-910D689CA743}"/>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337857" y="4468794"/>
              <a:ext cx="1787562" cy="1770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xdr:colOff>
      <xdr:row>35</xdr:row>
      <xdr:rowOff>57151</xdr:rowOff>
    </xdr:from>
    <xdr:to>
      <xdr:col>3</xdr:col>
      <xdr:colOff>125729</xdr:colOff>
      <xdr:row>43</xdr:row>
      <xdr:rowOff>95250</xdr:rowOff>
    </xdr:to>
    <mc:AlternateContent xmlns:mc="http://schemas.openxmlformats.org/markup-compatibility/2006">
      <mc:Choice xmlns:a14="http://schemas.microsoft.com/office/drawing/2010/main" Requires="a14">
        <xdr:graphicFrame macro="">
          <xdr:nvGraphicFramePr>
            <xdr:cNvPr id="47" name="Gender Value 1">
              <a:extLst>
                <a:ext uri="{FF2B5EF4-FFF2-40B4-BE49-F238E27FC236}">
                  <a16:creationId xmlns:a16="http://schemas.microsoft.com/office/drawing/2014/main" id="{B65001E9-5A26-429F-8A7F-C2E5E3621DE7}"/>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328332" y="6332445"/>
              <a:ext cx="1787562" cy="1472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DF478EB9-A430-52B6-9654-63E8F0DBD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312420</xdr:colOff>
      <xdr:row>2</xdr:row>
      <xdr:rowOff>140970</xdr:rowOff>
    </xdr:from>
    <xdr:to>
      <xdr:col>14</xdr:col>
      <xdr:colOff>7620</xdr:colOff>
      <xdr:row>17</xdr:row>
      <xdr:rowOff>140970</xdr:rowOff>
    </xdr:to>
    <xdr:graphicFrame macro="">
      <xdr:nvGraphicFramePr>
        <xdr:cNvPr id="2" name="Chart 1">
          <a:extLst>
            <a:ext uri="{FF2B5EF4-FFF2-40B4-BE49-F238E27FC236}">
              <a16:creationId xmlns:a16="http://schemas.microsoft.com/office/drawing/2014/main" id="{FB4DB08D-6FF7-E703-63E6-1E7C99B07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xdr:colOff>
      <xdr:row>8</xdr:row>
      <xdr:rowOff>87630</xdr:rowOff>
    </xdr:from>
    <xdr:to>
      <xdr:col>18</xdr:col>
      <xdr:colOff>205740</xdr:colOff>
      <xdr:row>23</xdr:row>
      <xdr:rowOff>114300</xdr:rowOff>
    </xdr:to>
    <xdr:graphicFrame macro="">
      <xdr:nvGraphicFramePr>
        <xdr:cNvPr id="3" name="Chart 2">
          <a:extLst>
            <a:ext uri="{FF2B5EF4-FFF2-40B4-BE49-F238E27FC236}">
              <a16:creationId xmlns:a16="http://schemas.microsoft.com/office/drawing/2014/main" id="{8D324B9B-9551-F277-0D7E-69E59C9C5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259080</xdr:colOff>
      <xdr:row>3</xdr:row>
      <xdr:rowOff>125730</xdr:rowOff>
    </xdr:from>
    <xdr:to>
      <xdr:col>21</xdr:col>
      <xdr:colOff>563880</xdr:colOff>
      <xdr:row>18</xdr:row>
      <xdr:rowOff>125730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4225569-AB22-3B72-C3DC-C61D31EDF2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487400" y="6743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144780</xdr:colOff>
      <xdr:row>21</xdr:row>
      <xdr:rowOff>49530</xdr:rowOff>
    </xdr:from>
    <xdr:to>
      <xdr:col>21</xdr:col>
      <xdr:colOff>449580</xdr:colOff>
      <xdr:row>36</xdr:row>
      <xdr:rowOff>49530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385CDCD-D61B-85C4-8937-19CE4F0E7F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373100" y="38900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594360</xdr:colOff>
      <xdr:row>1</xdr:row>
      <xdr:rowOff>156210</xdr:rowOff>
    </xdr:from>
    <xdr:to>
      <xdr:col>9</xdr:col>
      <xdr:colOff>45720</xdr:colOff>
      <xdr:row>13</xdr:row>
      <xdr:rowOff>152400</xdr:rowOff>
    </xdr:to>
    <xdr:graphicFrame macro="">
      <xdr:nvGraphicFramePr>
        <xdr:cNvPr id="2" name="Chart 1">
          <a:extLst>
            <a:ext uri="{FF2B5EF4-FFF2-40B4-BE49-F238E27FC236}">
              <a16:creationId xmlns:a16="http://schemas.microsoft.com/office/drawing/2014/main" id="{B81851D6-4047-AEBB-925B-78D965BA3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289560</xdr:colOff>
      <xdr:row>17</xdr:row>
      <xdr:rowOff>3810</xdr:rowOff>
    </xdr:from>
    <xdr:to>
      <xdr:col>16</xdr:col>
      <xdr:colOff>144780</xdr:colOff>
      <xdr:row>32</xdr:row>
      <xdr:rowOff>3810</xdr:rowOff>
    </xdr:to>
    <xdr:graphicFrame macro="">
      <xdr:nvGraphicFramePr>
        <xdr:cNvPr id="3" name="Chart 2">
          <a:extLst>
            <a:ext uri="{FF2B5EF4-FFF2-40B4-BE49-F238E27FC236}">
              <a16:creationId xmlns:a16="http://schemas.microsoft.com/office/drawing/2014/main" id="{E340C8BE-37E8-E283-3960-C4DD39D91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662940</xdr:colOff>
      <xdr:row>31</xdr:row>
      <xdr:rowOff>76200</xdr:rowOff>
    </xdr:from>
    <xdr:to>
      <xdr:col>6</xdr:col>
      <xdr:colOff>487680</xdr:colOff>
      <xdr:row>45</xdr:row>
      <xdr:rowOff>97155</xdr:rowOff>
    </xdr:to>
    <mc:AlternateContent xmlns:mc="http://schemas.openxmlformats.org/markup-compatibility/2006">
      <mc:Choice xmlns:a14="http://schemas.microsoft.com/office/drawing/2010/main" Requires="a14">
        <xdr:graphicFrame macro="">
          <xdr:nvGraphicFramePr>
            <xdr:cNvPr id="6" name="Order Mode">
              <a:extLst>
                <a:ext uri="{FF2B5EF4-FFF2-40B4-BE49-F238E27FC236}">
                  <a16:creationId xmlns:a16="http://schemas.microsoft.com/office/drawing/2014/main" id="{D7B977E1-E38C-1772-0918-52AF96E06D3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516380" y="5745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33</xdr:row>
      <xdr:rowOff>99060</xdr:rowOff>
    </xdr:from>
    <xdr:to>
      <xdr:col>13</xdr:col>
      <xdr:colOff>472440</xdr:colOff>
      <xdr:row>47</xdr:row>
      <xdr:rowOff>120015</xdr:rowOff>
    </xdr:to>
    <mc:AlternateContent xmlns:mc="http://schemas.openxmlformats.org/markup-compatibility/2006">
      <mc:Choice xmlns:a14="http://schemas.microsoft.com/office/drawing/2010/main" Requires="a14">
        <xdr:graphicFrame macro="">
          <xdr:nvGraphicFramePr>
            <xdr:cNvPr id="7" name="Gender Value">
              <a:extLst>
                <a:ext uri="{FF2B5EF4-FFF2-40B4-BE49-F238E27FC236}">
                  <a16:creationId xmlns:a16="http://schemas.microsoft.com/office/drawing/2014/main" id="{9C16CB0E-1936-BC92-3076-E9437B37C32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5722620" y="6134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8.830853356485" createdVersion="8" refreshedVersion="8" minRefreshableVersion="3" recordCount="2400" xr:uid="{47B4BCD1-010D-4B38-9297-67C999DE15B0}">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749982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D01A52-6CDD-4348-9C7A-0CCA287EEDAD}" name="pvtTrend"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D2453-D876-44B4-BBE1-F096860AED7C}" name="pvtSummary"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378432-01FA-43C1-A150-CCC3A484C100}" name="pvtMatrix"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13C23-DEB9-4E66-85B6-231247E4492E}" name="pvtQuantity"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8">
        <item x="0"/>
        <item x="1"/>
        <item x="2"/>
        <item x="4"/>
        <item x="3"/>
        <item n="6 T0 10" x="5"/>
        <item n="More Than 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12C855-D868-42B2-9F7C-96024C2ADB53}" name="ptvGender"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3:Q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4" count="1" selected="0">
            <x v="0"/>
          </reference>
        </references>
      </pivotArea>
    </chartFormat>
    <chartFormat chart="10" format="2">
      <pivotArea type="data" outline="0" fieldPosition="0">
        <references count="2">
          <reference field="4294967294" count="1" selected="0">
            <x v="0"/>
          </reference>
          <reference field="14" count="1" selected="0">
            <x v="1"/>
          </reference>
        </references>
      </pivotArea>
    </chartFormat>
    <chartFormat chart="10" format="3">
      <pivotArea type="data" outline="0" fieldPosition="0">
        <references count="2">
          <reference field="4294967294" count="1" selected="0">
            <x v="0"/>
          </reference>
          <reference field="14" count="1" selected="0">
            <x v="3"/>
          </reference>
        </references>
      </pivotArea>
    </chartFormat>
    <chartFormat chart="10" format="4">
      <pivotArea type="data" outline="0" fieldPosition="0">
        <references count="2">
          <reference field="4294967294" count="1" selected="0">
            <x v="0"/>
          </reference>
          <reference field="14" count="1" selected="0">
            <x v="2"/>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4" count="1" selected="0">
            <x v="0"/>
          </reference>
        </references>
      </pivotArea>
    </chartFormat>
    <chartFormat chart="17" format="12">
      <pivotArea type="data" outline="0" fieldPosition="0">
        <references count="2">
          <reference field="4294967294" count="1" selected="0">
            <x v="0"/>
          </reference>
          <reference field="14" count="1" selected="0">
            <x v="1"/>
          </reference>
        </references>
      </pivotArea>
    </chartFormat>
    <chartFormat chart="17" format="13">
      <pivotArea type="data" outline="0" fieldPosition="0">
        <references count="2">
          <reference field="4294967294" count="1" selected="0">
            <x v="0"/>
          </reference>
          <reference field="14" count="1" selected="0">
            <x v="2"/>
          </reference>
        </references>
      </pivotArea>
    </chartFormat>
    <chartFormat chart="17"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55385B-9754-4FF4-B6C1-1EAFA3412DEE}" name="pvtProPopu"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C5C53-46F9-41E8-BA16-95DDF93DDDA4}" name="pvtMap"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2A9BA2-2A44-4B11-9093-56E385AB746C}" name="pvtRating"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4:G2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5">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6" count="1" selected="0">
            <x v="1"/>
          </reference>
        </references>
      </pivotArea>
    </chartFormat>
    <chartFormat chart="10" format="1" series="1">
      <pivotArea type="data" outline="0" fieldPosition="0">
        <references count="2">
          <reference field="4294967294" count="1" selected="0">
            <x v="0"/>
          </reference>
          <reference field="16" count="1" selected="0">
            <x v="2"/>
          </reference>
        </references>
      </pivotArea>
    </chartFormat>
    <chartFormat chart="10" format="2" series="1">
      <pivotArea type="data" outline="0" fieldPosition="0">
        <references count="2">
          <reference field="4294967294" count="1" selected="0">
            <x v="0"/>
          </reference>
          <reference field="16" count="1" selected="0">
            <x v="3"/>
          </reference>
        </references>
      </pivotArea>
    </chartFormat>
    <chartFormat chart="10" format="3" series="1">
      <pivotArea type="data" outline="0" fieldPosition="0">
        <references count="2">
          <reference field="4294967294" count="1" selected="0">
            <x v="0"/>
          </reference>
          <reference field="9" count="1" selected="0">
            <x v="3"/>
          </reference>
        </references>
      </pivotArea>
    </chartFormat>
    <chartFormat chart="10" format="4" series="1">
      <pivotArea type="data" outline="0" fieldPosition="0">
        <references count="2">
          <reference field="4294967294" count="1" selected="0">
            <x v="0"/>
          </reference>
          <reference field="9" count="1" selected="0">
            <x v="4"/>
          </reference>
        </references>
      </pivotArea>
    </chartFormat>
    <chartFormat chart="10" format="5" series="1">
      <pivotArea type="data" outline="0" fieldPosition="0">
        <references count="2">
          <reference field="4294967294" count="1" selected="0">
            <x v="0"/>
          </reference>
          <reference field="9" count="1" selected="0">
            <x v="0"/>
          </reference>
        </references>
      </pivotArea>
    </chartFormat>
    <chartFormat chart="10" format="6" series="1">
      <pivotArea type="data" outline="0" fieldPosition="0">
        <references count="2">
          <reference field="4294967294" count="1" selected="0">
            <x v="0"/>
          </reference>
          <reference field="9" count="1" selected="0">
            <x v="1"/>
          </reference>
        </references>
      </pivotArea>
    </chartFormat>
    <chartFormat chart="10" format="7" series="1">
      <pivotArea type="data" outline="0" fieldPosition="0">
        <references count="2">
          <reference field="4294967294" count="1" selected="0">
            <x v="0"/>
          </reference>
          <reference field="9" count="1" selected="0">
            <x v="2"/>
          </reference>
        </references>
      </pivotArea>
    </chartFormat>
    <chartFormat chart="16" format="13" series="1">
      <pivotArea type="data" outline="0" fieldPosition="0">
        <references count="2">
          <reference field="4294967294" count="1" selected="0">
            <x v="0"/>
          </reference>
          <reference field="9" count="1" selected="0">
            <x v="0"/>
          </reference>
        </references>
      </pivotArea>
    </chartFormat>
    <chartFormat chart="16" format="14" series="1">
      <pivotArea type="data" outline="0" fieldPosition="0">
        <references count="2">
          <reference field="4294967294" count="1" selected="0">
            <x v="0"/>
          </reference>
          <reference field="9" count="1" selected="0">
            <x v="1"/>
          </reference>
        </references>
      </pivotArea>
    </chartFormat>
    <chartFormat chart="16" format="15" series="1">
      <pivotArea type="data" outline="0" fieldPosition="0">
        <references count="2">
          <reference field="4294967294" count="1" selected="0">
            <x v="0"/>
          </reference>
          <reference field="9" count="1" selected="0">
            <x v="2"/>
          </reference>
        </references>
      </pivotArea>
    </chartFormat>
    <chartFormat chart="16" format="16" series="1">
      <pivotArea type="data" outline="0" fieldPosition="0">
        <references count="2">
          <reference field="4294967294" count="1" selected="0">
            <x v="0"/>
          </reference>
          <reference field="9" count="1" selected="0">
            <x v="3"/>
          </reference>
        </references>
      </pivotArea>
    </chartFormat>
    <chartFormat chart="16"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09C644-355D-4DC1-B723-F0DC9D579287}" name="pvtDuration"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60CD8A1-26C8-49E9-8BC0-9BB7A1B1B71B}" sourceName="Order Mode">
  <pivotTables>
    <pivotTable tabId="11" name="pvtRating"/>
    <pivotTable tabId="10" name="pvtMap"/>
    <pivotTable tabId="5" name="pvtSummary"/>
    <pivotTable tabId="8" name="ptvGender"/>
    <pivotTable tabId="8" name="pvtProPopu"/>
    <pivotTable tabId="7" name="pvtQuantity"/>
    <pivotTable tabId="11" name="pvtDuration"/>
  </pivotTables>
  <data>
    <tabular pivotCacheId="74998220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74E140F-81A8-425B-AC49-7AF5800F404C}" sourceName="Gender Value">
  <pivotTables>
    <pivotTable tabId="11" name="pvtRating"/>
    <pivotTable tabId="10" name="pvtMap"/>
    <pivotTable tabId="5" name="pvtTrend"/>
    <pivotTable tabId="7" name="pvtQuantity"/>
    <pivotTable tabId="11" name="pvtDuration"/>
  </pivotTables>
  <data>
    <tabular pivotCacheId="74998220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1233C6B1-5ACF-4DC8-A478-F0293F7356A9}" cache="Slicer_Order_Mode" caption="Order Mode" rowHeight="247650"/>
  <slicer name="Gender Value 1" xr10:uid="{E2228DD4-90E4-4EA0-B004-2CB7F3C4D173}"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68D1401-CBE1-403F-A7A3-EF16ABBA9C10}" cache="Slicer_Order_Mode" caption="Order Mode" rowHeight="247650"/>
  <slicer name="Gender Value" xr10:uid="{967A0189-228B-467D-AC56-E5B7E5FCACDE}"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zoomScale="85" zoomScaleNormal="85" workbookViewId="0">
      <selection activeCell="AC14" sqref="AC14"/>
    </sheetView>
  </sheetViews>
  <sheetFormatPr defaultRowHeight="14.4" x14ac:dyDescent="0.3"/>
  <cols>
    <col min="1" max="2" width="3.33203125" customWidth="1"/>
    <col min="3" max="3" width="22.21875" customWidth="1"/>
    <col min="4" max="5" width="3.33203125" customWidth="1"/>
    <col min="27" max="27"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B7" sqref="B7"/>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C373C-4E0B-497E-9430-F93B50DE54CC}">
  <dimension ref="A2:K25"/>
  <sheetViews>
    <sheetView workbookViewId="0">
      <selection activeCell="C4" sqref="C4"/>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 min="10" max="10" width="13.109375" customWidth="1"/>
  </cols>
  <sheetData>
    <row r="2" spans="1:11" x14ac:dyDescent="0.3">
      <c r="G2" t="s">
        <v>2524</v>
      </c>
    </row>
    <row r="3" spans="1:11" x14ac:dyDescent="0.3">
      <c r="A3" t="s">
        <v>2519</v>
      </c>
      <c r="B3" t="s">
        <v>2520</v>
      </c>
      <c r="C3" t="s">
        <v>2521</v>
      </c>
      <c r="D3" t="s">
        <v>2522</v>
      </c>
      <c r="E3" t="s">
        <v>2523</v>
      </c>
      <c r="G3" t="s">
        <v>2518</v>
      </c>
      <c r="H3" t="s">
        <v>2525</v>
      </c>
      <c r="I3" t="s">
        <v>4</v>
      </c>
      <c r="J3" t="s">
        <v>2507</v>
      </c>
      <c r="K3" t="s">
        <v>2526</v>
      </c>
    </row>
    <row r="4" spans="1:11" x14ac:dyDescent="0.3">
      <c r="A4" s="5">
        <v>2400</v>
      </c>
      <c r="B4" s="5">
        <v>11997</v>
      </c>
      <c r="C4" s="5">
        <v>649019.80000000144</v>
      </c>
      <c r="D4" s="5">
        <v>3.9620833333333332</v>
      </c>
      <c r="E4" s="5">
        <v>2.3424999999999998</v>
      </c>
      <c r="G4" t="str">
        <f>TEXT(A4,"#,##")</f>
        <v>2,400</v>
      </c>
      <c r="H4" t="str">
        <f t="shared" ref="H4:K4" si="0">TEXT(B4,"#,##")</f>
        <v>11,997</v>
      </c>
      <c r="I4" t="str">
        <f>TEXT(C4,"$#,##")</f>
        <v>$649,020</v>
      </c>
      <c r="J4" t="str">
        <f>TEXT(D4,"0.0")</f>
        <v>4.0</v>
      </c>
      <c r="K4" t="str">
        <f>TEXT(E4,"0.0")</f>
        <v>2.3</v>
      </c>
    </row>
    <row r="9" spans="1:11" x14ac:dyDescent="0.3">
      <c r="A9" t="s">
        <v>2527</v>
      </c>
    </row>
    <row r="11" spans="1:11" x14ac:dyDescent="0.3">
      <c r="A11" s="6" t="s">
        <v>2528</v>
      </c>
      <c r="B11" t="s">
        <v>2520</v>
      </c>
      <c r="C11" t="s">
        <v>2521</v>
      </c>
    </row>
    <row r="12" spans="1:11" x14ac:dyDescent="0.3">
      <c r="A12" s="7">
        <v>1</v>
      </c>
      <c r="B12" s="5">
        <v>546</v>
      </c>
      <c r="C12" s="8">
        <v>32413.300000000003</v>
      </c>
    </row>
    <row r="13" spans="1:11" x14ac:dyDescent="0.3">
      <c r="A13" s="7">
        <v>2</v>
      </c>
      <c r="B13" s="5">
        <v>905</v>
      </c>
      <c r="C13" s="8">
        <v>49562.999999999993</v>
      </c>
    </row>
    <row r="14" spans="1:11" x14ac:dyDescent="0.3">
      <c r="A14" s="7">
        <v>3</v>
      </c>
      <c r="B14" s="5">
        <v>796</v>
      </c>
      <c r="C14" s="8">
        <v>41700.400000000016</v>
      </c>
    </row>
    <row r="15" spans="1:11" x14ac:dyDescent="0.3">
      <c r="A15" s="7">
        <v>4</v>
      </c>
      <c r="B15" s="5">
        <v>913</v>
      </c>
      <c r="C15" s="8">
        <v>46782.599999999984</v>
      </c>
    </row>
    <row r="16" spans="1:11" x14ac:dyDescent="0.3">
      <c r="A16" s="7">
        <v>5</v>
      </c>
      <c r="B16" s="5">
        <v>844</v>
      </c>
      <c r="C16" s="8">
        <v>42676.100000000006</v>
      </c>
    </row>
    <row r="17" spans="1:3" x14ac:dyDescent="0.3">
      <c r="A17" s="7">
        <v>6</v>
      </c>
      <c r="B17" s="5">
        <v>1202</v>
      </c>
      <c r="C17" s="8">
        <v>62910.7</v>
      </c>
    </row>
    <row r="18" spans="1:3" x14ac:dyDescent="0.3">
      <c r="A18" s="7">
        <v>7</v>
      </c>
      <c r="B18" s="5">
        <v>935</v>
      </c>
      <c r="C18" s="8">
        <v>50332.200000000004</v>
      </c>
    </row>
    <row r="19" spans="1:3" x14ac:dyDescent="0.3">
      <c r="A19" s="7">
        <v>8</v>
      </c>
      <c r="B19" s="5">
        <v>1128</v>
      </c>
      <c r="C19" s="8">
        <v>58760.599999999977</v>
      </c>
    </row>
    <row r="20" spans="1:3" x14ac:dyDescent="0.3">
      <c r="A20" s="7">
        <v>9</v>
      </c>
      <c r="B20" s="5">
        <v>1007</v>
      </c>
      <c r="C20" s="8">
        <v>52017.299999999996</v>
      </c>
    </row>
    <row r="21" spans="1:3" x14ac:dyDescent="0.3">
      <c r="A21" s="7">
        <v>10</v>
      </c>
      <c r="B21" s="5">
        <v>1128</v>
      </c>
      <c r="C21" s="8">
        <v>64915.700000000033</v>
      </c>
    </row>
    <row r="22" spans="1:3" x14ac:dyDescent="0.3">
      <c r="A22" s="7">
        <v>11</v>
      </c>
      <c r="B22" s="5">
        <v>861</v>
      </c>
      <c r="C22" s="8">
        <v>45943.80000000001</v>
      </c>
    </row>
    <row r="23" spans="1:3" x14ac:dyDescent="0.3">
      <c r="A23" s="7">
        <v>12</v>
      </c>
      <c r="B23" s="5">
        <v>944</v>
      </c>
      <c r="C23" s="8">
        <v>55077.900000000031</v>
      </c>
    </row>
    <row r="24" spans="1:3" x14ac:dyDescent="0.3">
      <c r="A24" s="7">
        <v>13</v>
      </c>
      <c r="B24" s="5">
        <v>788</v>
      </c>
      <c r="C24" s="8">
        <v>45926.19999999999</v>
      </c>
    </row>
    <row r="25" spans="1:3" x14ac:dyDescent="0.3">
      <c r="A25" s="7" t="s">
        <v>2529</v>
      </c>
      <c r="B25" s="5">
        <v>11997</v>
      </c>
      <c r="C25" s="8">
        <v>649019.79999999993</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D6C98-A778-4984-9A97-278CFA429244}">
  <dimension ref="A1:L10"/>
  <sheetViews>
    <sheetView workbookViewId="0">
      <selection activeCell="B9" sqref="B9"/>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 min="9" max="9" width="7" bestFit="1" customWidth="1"/>
    <col min="10" max="10" width="6.109375" bestFit="1" customWidth="1"/>
    <col min="11" max="11" width="5.5546875" bestFit="1" customWidth="1"/>
    <col min="12" max="12" width="8.44140625" bestFit="1" customWidth="1"/>
  </cols>
  <sheetData>
    <row r="1" spans="1:12" x14ac:dyDescent="0.3">
      <c r="H1" t="s">
        <v>2538</v>
      </c>
    </row>
    <row r="3" spans="1:12" x14ac:dyDescent="0.3">
      <c r="A3" s="6" t="s">
        <v>2521</v>
      </c>
      <c r="B3" s="6" t="s">
        <v>2530</v>
      </c>
    </row>
    <row r="4" spans="1:12" ht="15" thickBot="1" x14ac:dyDescent="0.35">
      <c r="A4" s="6" t="s">
        <v>2528</v>
      </c>
      <c r="B4" t="s">
        <v>2531</v>
      </c>
      <c r="C4" t="s">
        <v>2532</v>
      </c>
      <c r="D4" t="s">
        <v>2533</v>
      </c>
      <c r="E4" t="s">
        <v>2534</v>
      </c>
      <c r="F4" t="s">
        <v>2529</v>
      </c>
      <c r="H4" s="10"/>
      <c r="I4" s="11" t="str">
        <f>B4</f>
        <v>Female</v>
      </c>
      <c r="J4" s="11" t="str">
        <f t="shared" ref="J4:L4" si="0">C4</f>
        <v>Male</v>
      </c>
      <c r="K4" s="11" t="str">
        <f t="shared" si="0"/>
        <v>Other</v>
      </c>
      <c r="L4" s="12" t="str">
        <f t="shared" si="0"/>
        <v>Unknown</v>
      </c>
    </row>
    <row r="5" spans="1:12" ht="15.6" thickTop="1" thickBot="1" x14ac:dyDescent="0.35">
      <c r="A5" s="7" t="s">
        <v>18</v>
      </c>
      <c r="B5" s="9">
        <v>0.18961825201634841</v>
      </c>
      <c r="C5" s="9">
        <v>0.12262322351336576</v>
      </c>
      <c r="D5" s="9">
        <v>1.060537752469185E-2</v>
      </c>
      <c r="E5" s="9">
        <v>3.0599220547662797E-2</v>
      </c>
      <c r="F5" s="9">
        <v>0.35344607360206881</v>
      </c>
      <c r="H5" s="13" t="str">
        <f>A5</f>
        <v>App</v>
      </c>
      <c r="I5" s="14">
        <f t="shared" ref="I5:L9" si="1">B5</f>
        <v>0.18961825201634841</v>
      </c>
      <c r="J5" s="14">
        <f t="shared" si="1"/>
        <v>0.12262322351336576</v>
      </c>
      <c r="K5" s="14">
        <f t="shared" si="1"/>
        <v>1.060537752469185E-2</v>
      </c>
      <c r="L5" s="15">
        <f t="shared" si="1"/>
        <v>3.0599220547662797E-2</v>
      </c>
    </row>
    <row r="6" spans="1:12" ht="15.6" thickTop="1" thickBot="1" x14ac:dyDescent="0.35">
      <c r="A6" s="7" t="s">
        <v>51</v>
      </c>
      <c r="B6" s="9">
        <v>5.0283982091147303E-2</v>
      </c>
      <c r="C6" s="9">
        <v>4.3060781812819873E-2</v>
      </c>
      <c r="D6" s="9">
        <v>1.5320025675641944E-3</v>
      </c>
      <c r="E6" s="9">
        <v>1.7794988689097006E-2</v>
      </c>
      <c r="F6" s="9">
        <v>0.11267175516062837</v>
      </c>
      <c r="H6" s="13" t="str">
        <f t="shared" ref="H6:H9" si="2">A6</f>
        <v>Instagram</v>
      </c>
      <c r="I6" s="14">
        <f t="shared" si="1"/>
        <v>5.0283982091147303E-2</v>
      </c>
      <c r="J6" s="14">
        <f t="shared" si="1"/>
        <v>4.3060781812819873E-2</v>
      </c>
      <c r="K6" s="14">
        <f t="shared" si="1"/>
        <v>1.5320025675641944E-3</v>
      </c>
      <c r="L6" s="15">
        <f t="shared" si="1"/>
        <v>1.7794988689097006E-2</v>
      </c>
    </row>
    <row r="7" spans="1:12" ht="15.6" thickTop="1" thickBot="1" x14ac:dyDescent="0.35">
      <c r="A7" s="7" t="s">
        <v>70</v>
      </c>
      <c r="B7" s="9">
        <v>6.3496059750411282E-2</v>
      </c>
      <c r="C7" s="9">
        <v>4.6071629863988765E-2</v>
      </c>
      <c r="D7" s="9">
        <v>2.306247051322625E-3</v>
      </c>
      <c r="E7" s="9">
        <v>3.8927934093844286E-3</v>
      </c>
      <c r="F7" s="9">
        <v>0.11576673007510711</v>
      </c>
      <c r="H7" s="13" t="str">
        <f t="shared" si="2"/>
        <v>Partner App</v>
      </c>
      <c r="I7" s="14">
        <f t="shared" si="1"/>
        <v>6.3496059750411282E-2</v>
      </c>
      <c r="J7" s="14">
        <f t="shared" si="1"/>
        <v>4.6071629863988765E-2</v>
      </c>
      <c r="K7" s="14">
        <f t="shared" si="1"/>
        <v>2.306247051322625E-3</v>
      </c>
      <c r="L7" s="15">
        <f t="shared" si="1"/>
        <v>3.8927934093844286E-3</v>
      </c>
    </row>
    <row r="8" spans="1:12" ht="15.6" thickTop="1" thickBot="1" x14ac:dyDescent="0.35">
      <c r="A8" s="7" t="s">
        <v>40</v>
      </c>
      <c r="B8" s="9">
        <v>9.6337892927149532E-2</v>
      </c>
      <c r="C8" s="9">
        <v>6.7920115842382611E-2</v>
      </c>
      <c r="D8" s="9">
        <v>5.4979832664581261E-3</v>
      </c>
      <c r="E8" s="9">
        <v>1.2933041488102518E-2</v>
      </c>
      <c r="F8" s="9">
        <v>0.1826890335240928</v>
      </c>
      <c r="H8" s="13" t="str">
        <f t="shared" si="2"/>
        <v>Target.com</v>
      </c>
      <c r="I8" s="14">
        <f t="shared" si="1"/>
        <v>9.6337892927149532E-2</v>
      </c>
      <c r="J8" s="14">
        <f t="shared" si="1"/>
        <v>6.7920115842382611E-2</v>
      </c>
      <c r="K8" s="14">
        <f t="shared" si="1"/>
        <v>5.4979832664581261E-3</v>
      </c>
      <c r="L8" s="15">
        <f t="shared" si="1"/>
        <v>1.2933041488102518E-2</v>
      </c>
    </row>
    <row r="9" spans="1:12" ht="15" thickTop="1" x14ac:dyDescent="0.3">
      <c r="A9" s="7" t="s">
        <v>35</v>
      </c>
      <c r="B9" s="9">
        <v>0.12522098709469262</v>
      </c>
      <c r="C9" s="9">
        <v>9.1492740283116228E-2</v>
      </c>
      <c r="D9" s="9">
        <v>6.3042760790965081E-3</v>
      </c>
      <c r="E9" s="9">
        <v>1.2408404181197551E-2</v>
      </c>
      <c r="F9" s="9">
        <v>0.23542640763810288</v>
      </c>
      <c r="H9" s="16" t="str">
        <f t="shared" si="2"/>
        <v>Website</v>
      </c>
      <c r="I9" s="17">
        <f t="shared" si="1"/>
        <v>0.12522098709469262</v>
      </c>
      <c r="J9" s="17">
        <f t="shared" si="1"/>
        <v>9.1492740283116228E-2</v>
      </c>
      <c r="K9" s="17">
        <f t="shared" si="1"/>
        <v>6.3042760790965081E-3</v>
      </c>
      <c r="L9" s="18">
        <f t="shared" si="1"/>
        <v>1.2408404181197551E-2</v>
      </c>
    </row>
    <row r="10" spans="1:12" x14ac:dyDescent="0.3">
      <c r="A10" s="7" t="s">
        <v>2529</v>
      </c>
      <c r="B10" s="9">
        <v>0.52495717387974916</v>
      </c>
      <c r="C10" s="9">
        <v>0.3711684913156732</v>
      </c>
      <c r="D10" s="9">
        <v>2.6245886489133303E-2</v>
      </c>
      <c r="E10" s="9">
        <v>7.7628448315444312E-2</v>
      </c>
      <c r="F10" s="9">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981D-D052-4F02-BA73-C21C496CA043}">
  <dimension ref="A1:B11"/>
  <sheetViews>
    <sheetView workbookViewId="0">
      <selection activeCell="B5" sqref="B5"/>
    </sheetView>
  </sheetViews>
  <sheetFormatPr defaultRowHeight="14.4" x14ac:dyDescent="0.3"/>
  <cols>
    <col min="1" max="1" width="12.44140625" bestFit="1" customWidth="1"/>
    <col min="2" max="2" width="12.21875" bestFit="1" customWidth="1"/>
  </cols>
  <sheetData>
    <row r="1" spans="1:2" x14ac:dyDescent="0.3">
      <c r="B1" t="s">
        <v>2539</v>
      </c>
    </row>
    <row r="3" spans="1:2" x14ac:dyDescent="0.3">
      <c r="A3" s="6" t="s">
        <v>2528</v>
      </c>
      <c r="B3" t="s">
        <v>2519</v>
      </c>
    </row>
    <row r="4" spans="1:2" x14ac:dyDescent="0.3">
      <c r="A4" s="7">
        <v>1</v>
      </c>
      <c r="B4" s="5">
        <v>397</v>
      </c>
    </row>
    <row r="5" spans="1:2" x14ac:dyDescent="0.3">
      <c r="A5" s="7">
        <v>2</v>
      </c>
      <c r="B5" s="5">
        <v>540</v>
      </c>
    </row>
    <row r="6" spans="1:2" x14ac:dyDescent="0.3">
      <c r="A6" s="7">
        <v>3</v>
      </c>
      <c r="B6" s="5">
        <v>375</v>
      </c>
    </row>
    <row r="7" spans="1:2" x14ac:dyDescent="0.3">
      <c r="A7" s="7">
        <v>4</v>
      </c>
      <c r="B7" s="5">
        <v>246</v>
      </c>
    </row>
    <row r="8" spans="1:2" x14ac:dyDescent="0.3">
      <c r="A8" s="7">
        <v>5</v>
      </c>
      <c r="B8" s="5">
        <v>195</v>
      </c>
    </row>
    <row r="9" spans="1:2" x14ac:dyDescent="0.3">
      <c r="A9" s="7" t="s">
        <v>2541</v>
      </c>
      <c r="B9" s="5">
        <v>414</v>
      </c>
    </row>
    <row r="10" spans="1:2" x14ac:dyDescent="0.3">
      <c r="A10" s="7" t="s">
        <v>2540</v>
      </c>
      <c r="B10" s="5">
        <v>233</v>
      </c>
    </row>
    <row r="11" spans="1:2" x14ac:dyDescent="0.3">
      <c r="A11" s="7" t="s">
        <v>2529</v>
      </c>
      <c r="B11" s="5">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86E40-473D-42EE-908B-BA6823722293}">
  <dimension ref="A3:Q25"/>
  <sheetViews>
    <sheetView workbookViewId="0">
      <selection activeCell="P6" sqref="P6"/>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16" max="16" width="12.44140625" bestFit="1" customWidth="1"/>
    <col min="17" max="17" width="14.21875" bestFit="1" customWidth="1"/>
    <col min="18" max="18" width="5" bestFit="1" customWidth="1"/>
    <col min="19" max="19" width="5.6640625" bestFit="1" customWidth="1"/>
    <col min="20" max="20" width="8.5546875" bestFit="1" customWidth="1"/>
    <col min="21" max="21" width="10.5546875" bestFit="1" customWidth="1"/>
  </cols>
  <sheetData>
    <row r="3" spans="1:17" x14ac:dyDescent="0.3">
      <c r="A3" s="6" t="s">
        <v>2520</v>
      </c>
      <c r="B3" s="6" t="s">
        <v>2530</v>
      </c>
      <c r="P3" s="6" t="s">
        <v>2528</v>
      </c>
      <c r="Q3" t="s">
        <v>2520</v>
      </c>
    </row>
    <row r="4" spans="1:17" x14ac:dyDescent="0.3">
      <c r="A4" s="6" t="s">
        <v>2528</v>
      </c>
      <c r="B4" t="s">
        <v>2531</v>
      </c>
      <c r="C4" t="s">
        <v>2532</v>
      </c>
      <c r="D4" t="s">
        <v>2533</v>
      </c>
      <c r="E4" t="s">
        <v>2534</v>
      </c>
      <c r="F4" t="s">
        <v>2529</v>
      </c>
      <c r="P4" s="7" t="s">
        <v>2531</v>
      </c>
      <c r="Q4" s="5">
        <v>6272</v>
      </c>
    </row>
    <row r="5" spans="1:17" x14ac:dyDescent="0.3">
      <c r="A5" s="7" t="s">
        <v>44</v>
      </c>
      <c r="B5" s="5">
        <v>744</v>
      </c>
      <c r="C5" s="5">
        <v>713</v>
      </c>
      <c r="D5" s="5">
        <v>90</v>
      </c>
      <c r="E5" s="5">
        <v>98</v>
      </c>
      <c r="F5" s="5">
        <v>1645</v>
      </c>
      <c r="P5" s="7" t="s">
        <v>2532</v>
      </c>
      <c r="Q5" s="5">
        <v>4672</v>
      </c>
    </row>
    <row r="6" spans="1:17" x14ac:dyDescent="0.3">
      <c r="A6" s="7" t="s">
        <v>39</v>
      </c>
      <c r="B6" s="5">
        <v>716</v>
      </c>
      <c r="C6" s="5">
        <v>598</v>
      </c>
      <c r="D6" s="5">
        <v>18</v>
      </c>
      <c r="E6" s="5">
        <v>214</v>
      </c>
      <c r="F6" s="5">
        <v>1546</v>
      </c>
      <c r="P6" s="7" t="s">
        <v>2533</v>
      </c>
      <c r="Q6" s="5">
        <v>317</v>
      </c>
    </row>
    <row r="7" spans="1:17" x14ac:dyDescent="0.3">
      <c r="A7" s="7" t="s">
        <v>26</v>
      </c>
      <c r="B7" s="5">
        <v>627</v>
      </c>
      <c r="C7" s="5">
        <v>393</v>
      </c>
      <c r="D7" s="5">
        <v>29</v>
      </c>
      <c r="E7" s="5">
        <v>137</v>
      </c>
      <c r="F7" s="5">
        <v>1186</v>
      </c>
      <c r="P7" s="7" t="s">
        <v>2534</v>
      </c>
      <c r="Q7" s="5">
        <v>736</v>
      </c>
    </row>
    <row r="8" spans="1:17" x14ac:dyDescent="0.3">
      <c r="A8" s="7" t="s">
        <v>22</v>
      </c>
      <c r="B8" s="5">
        <v>568</v>
      </c>
      <c r="C8" s="5">
        <v>306</v>
      </c>
      <c r="D8" s="5">
        <v>22</v>
      </c>
      <c r="E8" s="5">
        <v>16</v>
      </c>
      <c r="F8" s="5">
        <v>912</v>
      </c>
      <c r="P8" s="7" t="s">
        <v>2529</v>
      </c>
      <c r="Q8" s="5">
        <v>11997</v>
      </c>
    </row>
    <row r="9" spans="1:17" x14ac:dyDescent="0.3">
      <c r="A9" s="7" t="s">
        <v>54</v>
      </c>
      <c r="B9" s="5">
        <v>482</v>
      </c>
      <c r="C9" s="5">
        <v>295</v>
      </c>
      <c r="D9" s="5">
        <v>8</v>
      </c>
      <c r="E9" s="5">
        <v>22</v>
      </c>
      <c r="F9" s="5">
        <v>807</v>
      </c>
    </row>
    <row r="10" spans="1:17" x14ac:dyDescent="0.3">
      <c r="A10" s="7" t="s">
        <v>16</v>
      </c>
      <c r="B10" s="5">
        <v>428</v>
      </c>
      <c r="C10" s="5">
        <v>293</v>
      </c>
      <c r="D10" s="5"/>
      <c r="E10" s="5">
        <v>24</v>
      </c>
      <c r="F10" s="5">
        <v>745</v>
      </c>
    </row>
    <row r="11" spans="1:17" x14ac:dyDescent="0.3">
      <c r="A11" s="7" t="s">
        <v>46</v>
      </c>
      <c r="B11" s="5">
        <v>445</v>
      </c>
      <c r="C11" s="5">
        <v>202</v>
      </c>
      <c r="D11" s="5">
        <v>14</v>
      </c>
      <c r="E11" s="5">
        <v>39</v>
      </c>
      <c r="F11" s="5">
        <v>700</v>
      </c>
    </row>
    <row r="12" spans="1:17" x14ac:dyDescent="0.3">
      <c r="A12" s="7" t="s">
        <v>32</v>
      </c>
      <c r="B12" s="5">
        <v>431</v>
      </c>
      <c r="C12" s="5">
        <v>187</v>
      </c>
      <c r="D12" s="5">
        <v>14</v>
      </c>
      <c r="E12" s="5">
        <v>15</v>
      </c>
      <c r="F12" s="5">
        <v>647</v>
      </c>
    </row>
    <row r="13" spans="1:17" x14ac:dyDescent="0.3">
      <c r="A13" s="7" t="s">
        <v>42</v>
      </c>
      <c r="B13" s="5">
        <v>264</v>
      </c>
      <c r="C13" s="5">
        <v>318</v>
      </c>
      <c r="D13" s="5">
        <v>15</v>
      </c>
      <c r="E13" s="5">
        <v>9</v>
      </c>
      <c r="F13" s="5">
        <v>606</v>
      </c>
    </row>
    <row r="14" spans="1:17" x14ac:dyDescent="0.3">
      <c r="A14" s="7" t="s">
        <v>37</v>
      </c>
      <c r="B14" s="5">
        <v>296</v>
      </c>
      <c r="C14" s="5">
        <v>275</v>
      </c>
      <c r="D14" s="5">
        <v>9</v>
      </c>
      <c r="E14" s="5">
        <v>23</v>
      </c>
      <c r="F14" s="5">
        <v>603</v>
      </c>
    </row>
    <row r="15" spans="1:17" x14ac:dyDescent="0.3">
      <c r="A15" s="7" t="s">
        <v>123</v>
      </c>
      <c r="B15" s="5">
        <v>153</v>
      </c>
      <c r="C15" s="5">
        <v>246</v>
      </c>
      <c r="D15" s="5">
        <v>30</v>
      </c>
      <c r="E15" s="5">
        <v>8</v>
      </c>
      <c r="F15" s="5">
        <v>437</v>
      </c>
    </row>
    <row r="16" spans="1:17" x14ac:dyDescent="0.3">
      <c r="A16" s="7" t="s">
        <v>146</v>
      </c>
      <c r="B16" s="5">
        <v>189</v>
      </c>
      <c r="C16" s="5">
        <v>168</v>
      </c>
      <c r="D16" s="5">
        <v>10</v>
      </c>
      <c r="E16" s="5">
        <v>31</v>
      </c>
      <c r="F16" s="5">
        <v>398</v>
      </c>
    </row>
    <row r="17" spans="1:6" x14ac:dyDescent="0.3">
      <c r="A17" s="7" t="s">
        <v>69</v>
      </c>
      <c r="B17" s="5">
        <v>234</v>
      </c>
      <c r="C17" s="5">
        <v>93</v>
      </c>
      <c r="D17" s="5">
        <v>19</v>
      </c>
      <c r="E17" s="5">
        <v>24</v>
      </c>
      <c r="F17" s="5">
        <v>370</v>
      </c>
    </row>
    <row r="18" spans="1:6" x14ac:dyDescent="0.3">
      <c r="A18" s="7" t="s">
        <v>30</v>
      </c>
      <c r="B18" s="5">
        <v>146</v>
      </c>
      <c r="C18" s="5">
        <v>94</v>
      </c>
      <c r="D18" s="5">
        <v>4</v>
      </c>
      <c r="E18" s="5">
        <v>28</v>
      </c>
      <c r="F18" s="5">
        <v>272</v>
      </c>
    </row>
    <row r="19" spans="1:6" x14ac:dyDescent="0.3">
      <c r="A19" s="7" t="s">
        <v>135</v>
      </c>
      <c r="B19" s="5">
        <v>127</v>
      </c>
      <c r="C19" s="5">
        <v>118</v>
      </c>
      <c r="D19" s="5">
        <v>13</v>
      </c>
      <c r="E19" s="5">
        <v>12</v>
      </c>
      <c r="F19" s="5">
        <v>270</v>
      </c>
    </row>
    <row r="20" spans="1:6" x14ac:dyDescent="0.3">
      <c r="A20" s="7" t="s">
        <v>67</v>
      </c>
      <c r="B20" s="5">
        <v>179</v>
      </c>
      <c r="C20" s="5">
        <v>76</v>
      </c>
      <c r="D20" s="5">
        <v>3</v>
      </c>
      <c r="E20" s="5"/>
      <c r="F20" s="5">
        <v>258</v>
      </c>
    </row>
    <row r="21" spans="1:6" x14ac:dyDescent="0.3">
      <c r="A21" s="7" t="s">
        <v>128</v>
      </c>
      <c r="B21" s="5">
        <v>99</v>
      </c>
      <c r="C21" s="5">
        <v>69</v>
      </c>
      <c r="D21" s="5">
        <v>3</v>
      </c>
      <c r="E21" s="5">
        <v>24</v>
      </c>
      <c r="F21" s="5">
        <v>195</v>
      </c>
    </row>
    <row r="22" spans="1:6" x14ac:dyDescent="0.3">
      <c r="A22" s="7" t="s">
        <v>76</v>
      </c>
      <c r="B22" s="5">
        <v>75</v>
      </c>
      <c r="C22" s="5">
        <v>103</v>
      </c>
      <c r="D22" s="5">
        <v>4</v>
      </c>
      <c r="E22" s="5">
        <v>6</v>
      </c>
      <c r="F22" s="5">
        <v>188</v>
      </c>
    </row>
    <row r="23" spans="1:6" x14ac:dyDescent="0.3">
      <c r="A23" s="7" t="s">
        <v>81</v>
      </c>
      <c r="B23" s="5">
        <v>43</v>
      </c>
      <c r="C23" s="5">
        <v>90</v>
      </c>
      <c r="D23" s="5">
        <v>8</v>
      </c>
      <c r="E23" s="5">
        <v>6</v>
      </c>
      <c r="F23" s="5">
        <v>147</v>
      </c>
    </row>
    <row r="24" spans="1:6" x14ac:dyDescent="0.3">
      <c r="A24" s="7" t="s">
        <v>171</v>
      </c>
      <c r="B24" s="5">
        <v>26</v>
      </c>
      <c r="C24" s="5">
        <v>35</v>
      </c>
      <c r="D24" s="5">
        <v>4</v>
      </c>
      <c r="E24" s="5"/>
      <c r="F24" s="5">
        <v>65</v>
      </c>
    </row>
    <row r="25" spans="1:6" x14ac:dyDescent="0.3">
      <c r="A25" s="7" t="s">
        <v>2529</v>
      </c>
      <c r="B25" s="5">
        <v>6272</v>
      </c>
      <c r="C25" s="5">
        <v>4672</v>
      </c>
      <c r="D25" s="5">
        <v>317</v>
      </c>
      <c r="E25" s="5">
        <v>736</v>
      </c>
      <c r="F25" s="5">
        <v>11997</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952B-2A6B-4866-9875-A2B94730D75F}">
  <dimension ref="A2:M68"/>
  <sheetViews>
    <sheetView workbookViewId="0">
      <selection activeCell="I12" sqref="I12"/>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6" max="6" width="17" bestFit="1" customWidth="1"/>
    <col min="7" max="7" width="19.6640625" bestFit="1" customWidth="1"/>
    <col min="8" max="8" width="5" bestFit="1" customWidth="1"/>
    <col min="11" max="11" width="18.5546875" bestFit="1" customWidth="1"/>
    <col min="12" max="12" width="19.6640625" bestFit="1" customWidth="1"/>
    <col min="13" max="13" width="7.21875" bestFit="1" customWidth="1"/>
  </cols>
  <sheetData>
    <row r="2" spans="1:13" x14ac:dyDescent="0.3">
      <c r="F2" t="s">
        <v>2542</v>
      </c>
      <c r="K2" t="s">
        <v>2543</v>
      </c>
    </row>
    <row r="3" spans="1:13" x14ac:dyDescent="0.3">
      <c r="A3" s="6" t="s">
        <v>10</v>
      </c>
      <c r="B3" s="6" t="s">
        <v>11</v>
      </c>
      <c r="C3" t="s">
        <v>2520</v>
      </c>
      <c r="D3" t="s">
        <v>2521</v>
      </c>
      <c r="F3" t="s">
        <v>10</v>
      </c>
      <c r="G3" t="s">
        <v>11</v>
      </c>
      <c r="H3" t="s">
        <v>2525</v>
      </c>
      <c r="K3" t="s">
        <v>10</v>
      </c>
      <c r="L3" t="s">
        <v>11</v>
      </c>
      <c r="M3" t="s">
        <v>4</v>
      </c>
    </row>
    <row r="4" spans="1:13" x14ac:dyDescent="0.3">
      <c r="A4" t="s">
        <v>19</v>
      </c>
      <c r="B4" t="s">
        <v>115</v>
      </c>
      <c r="C4" s="5">
        <v>579</v>
      </c>
      <c r="D4" s="5">
        <v>31884.999999999996</v>
      </c>
      <c r="F4" t="str">
        <f>IF(A4="","",A4)</f>
        <v>California</v>
      </c>
      <c r="G4" t="str">
        <f t="shared" ref="G4:H4" si="0">IF(B4="","",B4)</f>
        <v>Alameda County</v>
      </c>
      <c r="H4">
        <f t="shared" si="0"/>
        <v>579</v>
      </c>
      <c r="K4" t="str">
        <f>IF(A4="","",A4)</f>
        <v>California</v>
      </c>
      <c r="L4" t="str">
        <f>IF(B4="","",B4)</f>
        <v>Alameda County</v>
      </c>
      <c r="M4">
        <f>D4</f>
        <v>31884.999999999996</v>
      </c>
    </row>
    <row r="5" spans="1:13" x14ac:dyDescent="0.3">
      <c r="A5" t="s">
        <v>19</v>
      </c>
      <c r="B5" t="s">
        <v>20</v>
      </c>
      <c r="C5" s="5">
        <v>1</v>
      </c>
      <c r="D5" s="5">
        <v>10.9</v>
      </c>
      <c r="F5" t="str">
        <f t="shared" ref="F5:F61" si="1">IF(A5="","",A5)</f>
        <v>California</v>
      </c>
      <c r="G5" t="str">
        <f t="shared" ref="G5:G61" si="2">IF(B5="","",B5)</f>
        <v>Alpine County</v>
      </c>
      <c r="H5">
        <f t="shared" ref="H5:H61" si="3">IF(C5="","",C5)</f>
        <v>1</v>
      </c>
      <c r="K5" t="str">
        <f t="shared" ref="K5:K68" si="4">IF(A5="","",A5)</f>
        <v>California</v>
      </c>
      <c r="L5" t="str">
        <f t="shared" ref="L5:L61" si="5">IF(B5="","",B5)</f>
        <v>Alpine County</v>
      </c>
      <c r="M5">
        <f t="shared" ref="M5:M61" si="6">D5</f>
        <v>10.9</v>
      </c>
    </row>
    <row r="6" spans="1:13" x14ac:dyDescent="0.3">
      <c r="A6" t="s">
        <v>19</v>
      </c>
      <c r="B6" t="s">
        <v>641</v>
      </c>
      <c r="C6" s="5">
        <v>9</v>
      </c>
      <c r="D6" s="5">
        <v>800.3</v>
      </c>
      <c r="F6" t="str">
        <f t="shared" si="1"/>
        <v>California</v>
      </c>
      <c r="G6" t="str">
        <f t="shared" si="2"/>
        <v>Amador County</v>
      </c>
      <c r="H6">
        <f t="shared" si="3"/>
        <v>9</v>
      </c>
      <c r="K6" t="str">
        <f t="shared" si="4"/>
        <v>California</v>
      </c>
      <c r="L6" t="str">
        <f t="shared" si="5"/>
        <v>Amador County</v>
      </c>
      <c r="M6">
        <f t="shared" si="6"/>
        <v>800.3</v>
      </c>
    </row>
    <row r="7" spans="1:13" x14ac:dyDescent="0.3">
      <c r="A7" t="s">
        <v>19</v>
      </c>
      <c r="B7" t="s">
        <v>967</v>
      </c>
      <c r="C7" s="5">
        <v>35</v>
      </c>
      <c r="D7" s="5">
        <v>1062.5999999999999</v>
      </c>
      <c r="F7" t="str">
        <f t="shared" si="1"/>
        <v>California</v>
      </c>
      <c r="G7" t="str">
        <f t="shared" si="2"/>
        <v>Butte County</v>
      </c>
      <c r="H7">
        <f t="shared" si="3"/>
        <v>35</v>
      </c>
      <c r="K7" t="str">
        <f t="shared" si="4"/>
        <v>California</v>
      </c>
      <c r="L7" t="str">
        <f t="shared" si="5"/>
        <v>Butte County</v>
      </c>
      <c r="M7">
        <f t="shared" si="6"/>
        <v>1062.5999999999999</v>
      </c>
    </row>
    <row r="8" spans="1:13" x14ac:dyDescent="0.3">
      <c r="A8" t="s">
        <v>19</v>
      </c>
      <c r="B8" t="s">
        <v>84</v>
      </c>
      <c r="C8" s="5">
        <v>12</v>
      </c>
      <c r="D8" s="5">
        <v>326.20000000000005</v>
      </c>
      <c r="F8" t="str">
        <f t="shared" si="1"/>
        <v>California</v>
      </c>
      <c r="G8" t="str">
        <f t="shared" si="2"/>
        <v>Calaveras County</v>
      </c>
      <c r="H8">
        <f t="shared" si="3"/>
        <v>12</v>
      </c>
      <c r="K8" t="str">
        <f t="shared" si="4"/>
        <v>California</v>
      </c>
      <c r="L8" t="str">
        <f t="shared" si="5"/>
        <v>Calaveras County</v>
      </c>
      <c r="M8">
        <f t="shared" si="6"/>
        <v>326.20000000000005</v>
      </c>
    </row>
    <row r="9" spans="1:13" x14ac:dyDescent="0.3">
      <c r="A9" t="s">
        <v>19</v>
      </c>
      <c r="B9" t="s">
        <v>1383</v>
      </c>
      <c r="C9" s="5">
        <v>4</v>
      </c>
      <c r="D9" s="5">
        <v>167.5</v>
      </c>
      <c r="F9" t="str">
        <f t="shared" si="1"/>
        <v>California</v>
      </c>
      <c r="G9" t="str">
        <f t="shared" si="2"/>
        <v>Colusa County</v>
      </c>
      <c r="H9">
        <f t="shared" si="3"/>
        <v>4</v>
      </c>
      <c r="K9" t="str">
        <f t="shared" si="4"/>
        <v>California</v>
      </c>
      <c r="L9" t="str">
        <f t="shared" si="5"/>
        <v>Colusa County</v>
      </c>
      <c r="M9">
        <f t="shared" si="6"/>
        <v>167.5</v>
      </c>
    </row>
    <row r="10" spans="1:13" x14ac:dyDescent="0.3">
      <c r="A10" t="s">
        <v>19</v>
      </c>
      <c r="B10" t="s">
        <v>24</v>
      </c>
      <c r="C10" s="5">
        <v>341</v>
      </c>
      <c r="D10" s="5">
        <v>16168.7</v>
      </c>
      <c r="F10" t="str">
        <f t="shared" si="1"/>
        <v>California</v>
      </c>
      <c r="G10" t="str">
        <f t="shared" si="2"/>
        <v>Contra Costa County</v>
      </c>
      <c r="H10">
        <f t="shared" si="3"/>
        <v>341</v>
      </c>
      <c r="K10" t="str">
        <f t="shared" si="4"/>
        <v>California</v>
      </c>
      <c r="L10" t="str">
        <f t="shared" si="5"/>
        <v>Contra Costa County</v>
      </c>
      <c r="M10">
        <f t="shared" si="6"/>
        <v>16168.7</v>
      </c>
    </row>
    <row r="11" spans="1:13" x14ac:dyDescent="0.3">
      <c r="A11" t="s">
        <v>19</v>
      </c>
      <c r="B11" t="s">
        <v>2204</v>
      </c>
      <c r="C11" s="5">
        <v>13</v>
      </c>
      <c r="D11" s="5">
        <v>322.40000000000003</v>
      </c>
      <c r="F11" t="str">
        <f t="shared" si="1"/>
        <v>California</v>
      </c>
      <c r="G11" t="str">
        <f t="shared" si="2"/>
        <v>Del Norte County</v>
      </c>
      <c r="H11">
        <f t="shared" si="3"/>
        <v>13</v>
      </c>
      <c r="K11" t="str">
        <f t="shared" si="4"/>
        <v>California</v>
      </c>
      <c r="L11" t="str">
        <f t="shared" si="5"/>
        <v>Del Norte County</v>
      </c>
      <c r="M11">
        <f t="shared" si="6"/>
        <v>322.40000000000003</v>
      </c>
    </row>
    <row r="12" spans="1:13" x14ac:dyDescent="0.3">
      <c r="A12" t="s">
        <v>19</v>
      </c>
      <c r="B12" t="s">
        <v>437</v>
      </c>
      <c r="C12" s="5">
        <v>31</v>
      </c>
      <c r="D12" s="5">
        <v>2092.8000000000002</v>
      </c>
      <c r="F12" t="str">
        <f t="shared" si="1"/>
        <v>California</v>
      </c>
      <c r="G12" t="str">
        <f t="shared" si="2"/>
        <v>El Dorado County</v>
      </c>
      <c r="H12">
        <f t="shared" si="3"/>
        <v>31</v>
      </c>
      <c r="K12" t="str">
        <f t="shared" si="4"/>
        <v>California</v>
      </c>
      <c r="L12" t="str">
        <f t="shared" si="5"/>
        <v>El Dorado County</v>
      </c>
      <c r="M12">
        <f t="shared" si="6"/>
        <v>2092.8000000000002</v>
      </c>
    </row>
    <row r="13" spans="1:13" x14ac:dyDescent="0.3">
      <c r="A13" t="s">
        <v>19</v>
      </c>
      <c r="B13" t="s">
        <v>28</v>
      </c>
      <c r="C13" s="5">
        <v>279</v>
      </c>
      <c r="D13" s="5">
        <v>12662.500000000002</v>
      </c>
      <c r="F13" t="str">
        <f t="shared" si="1"/>
        <v>California</v>
      </c>
      <c r="G13" t="str">
        <f t="shared" si="2"/>
        <v>Fresno County</v>
      </c>
      <c r="H13">
        <f t="shared" si="3"/>
        <v>279</v>
      </c>
      <c r="K13" t="str">
        <f t="shared" si="4"/>
        <v>California</v>
      </c>
      <c r="L13" t="str">
        <f t="shared" si="5"/>
        <v>Fresno County</v>
      </c>
      <c r="M13">
        <f t="shared" si="6"/>
        <v>12662.500000000002</v>
      </c>
    </row>
    <row r="14" spans="1:13" x14ac:dyDescent="0.3">
      <c r="A14" t="s">
        <v>19</v>
      </c>
      <c r="B14" t="s">
        <v>208</v>
      </c>
      <c r="C14" s="5">
        <v>9</v>
      </c>
      <c r="D14" s="5">
        <v>343.2</v>
      </c>
      <c r="F14" t="str">
        <f t="shared" si="1"/>
        <v>California</v>
      </c>
      <c r="G14" t="str">
        <f t="shared" si="2"/>
        <v>Glenn County</v>
      </c>
      <c r="H14">
        <f t="shared" si="3"/>
        <v>9</v>
      </c>
      <c r="K14" t="str">
        <f t="shared" si="4"/>
        <v>California</v>
      </c>
      <c r="L14" t="str">
        <f t="shared" si="5"/>
        <v>Glenn County</v>
      </c>
      <c r="M14">
        <f t="shared" si="6"/>
        <v>343.2</v>
      </c>
    </row>
    <row r="15" spans="1:13" x14ac:dyDescent="0.3">
      <c r="A15" t="s">
        <v>19</v>
      </c>
      <c r="B15" t="s">
        <v>587</v>
      </c>
      <c r="C15" s="5">
        <v>49</v>
      </c>
      <c r="D15" s="5">
        <v>2188.2999999999997</v>
      </c>
      <c r="F15" t="str">
        <f t="shared" si="1"/>
        <v>California</v>
      </c>
      <c r="G15" t="str">
        <f t="shared" si="2"/>
        <v>Humboldt County</v>
      </c>
      <c r="H15">
        <f t="shared" si="3"/>
        <v>49</v>
      </c>
      <c r="K15" t="str">
        <f t="shared" si="4"/>
        <v>California</v>
      </c>
      <c r="L15" t="str">
        <f t="shared" si="5"/>
        <v>Humboldt County</v>
      </c>
      <c r="M15">
        <f t="shared" si="6"/>
        <v>2188.2999999999997</v>
      </c>
    </row>
    <row r="16" spans="1:13" x14ac:dyDescent="0.3">
      <c r="A16" t="s">
        <v>19</v>
      </c>
      <c r="B16" t="s">
        <v>331</v>
      </c>
      <c r="C16" s="5">
        <v>59</v>
      </c>
      <c r="D16" s="5">
        <v>2661.5999999999995</v>
      </c>
      <c r="F16" t="str">
        <f t="shared" si="1"/>
        <v>California</v>
      </c>
      <c r="G16" t="str">
        <f t="shared" si="2"/>
        <v>Imperial County</v>
      </c>
      <c r="H16">
        <f t="shared" si="3"/>
        <v>59</v>
      </c>
      <c r="K16" t="str">
        <f t="shared" si="4"/>
        <v>California</v>
      </c>
      <c r="L16" t="str">
        <f t="shared" si="5"/>
        <v>Imperial County</v>
      </c>
      <c r="M16">
        <f t="shared" si="6"/>
        <v>2661.5999999999995</v>
      </c>
    </row>
    <row r="17" spans="1:13" x14ac:dyDescent="0.3">
      <c r="A17" t="s">
        <v>19</v>
      </c>
      <c r="B17" t="s">
        <v>86</v>
      </c>
      <c r="C17" s="5">
        <v>8</v>
      </c>
      <c r="D17" s="5">
        <v>887.5</v>
      </c>
      <c r="F17" t="str">
        <f t="shared" si="1"/>
        <v>California</v>
      </c>
      <c r="G17" t="str">
        <f t="shared" si="2"/>
        <v>Inyo County</v>
      </c>
      <c r="H17">
        <f t="shared" si="3"/>
        <v>8</v>
      </c>
      <c r="K17" t="str">
        <f t="shared" si="4"/>
        <v>California</v>
      </c>
      <c r="L17" t="str">
        <f t="shared" si="5"/>
        <v>Inyo County</v>
      </c>
      <c r="M17">
        <f t="shared" si="6"/>
        <v>887.5</v>
      </c>
    </row>
    <row r="18" spans="1:13" x14ac:dyDescent="0.3">
      <c r="A18" t="s">
        <v>19</v>
      </c>
      <c r="B18" t="s">
        <v>147</v>
      </c>
      <c r="C18" s="5">
        <v>222</v>
      </c>
      <c r="D18" s="5">
        <v>11354.199999999993</v>
      </c>
      <c r="F18" t="str">
        <f t="shared" si="1"/>
        <v>California</v>
      </c>
      <c r="G18" t="str">
        <f t="shared" si="2"/>
        <v>Kern County</v>
      </c>
      <c r="H18">
        <f t="shared" si="3"/>
        <v>222</v>
      </c>
      <c r="K18" t="str">
        <f t="shared" si="4"/>
        <v>California</v>
      </c>
      <c r="L18" t="str">
        <f t="shared" si="5"/>
        <v>Kern County</v>
      </c>
      <c r="M18">
        <f t="shared" si="6"/>
        <v>11354.199999999993</v>
      </c>
    </row>
    <row r="19" spans="1:13" x14ac:dyDescent="0.3">
      <c r="A19" t="s">
        <v>19</v>
      </c>
      <c r="B19" t="s">
        <v>334</v>
      </c>
      <c r="C19" s="5">
        <v>36</v>
      </c>
      <c r="D19" s="5">
        <v>1558.4</v>
      </c>
      <c r="F19" t="str">
        <f t="shared" si="1"/>
        <v>California</v>
      </c>
      <c r="G19" t="str">
        <f t="shared" si="2"/>
        <v>Kings County</v>
      </c>
      <c r="H19">
        <f t="shared" si="3"/>
        <v>36</v>
      </c>
      <c r="K19" t="str">
        <f t="shared" si="4"/>
        <v>California</v>
      </c>
      <c r="L19" t="str">
        <f t="shared" si="5"/>
        <v>Kings County</v>
      </c>
      <c r="M19">
        <f t="shared" si="6"/>
        <v>1558.4</v>
      </c>
    </row>
    <row r="20" spans="1:13" x14ac:dyDescent="0.3">
      <c r="A20" t="s">
        <v>19</v>
      </c>
      <c r="B20" t="s">
        <v>949</v>
      </c>
      <c r="C20" s="5">
        <v>30</v>
      </c>
      <c r="D20" s="5">
        <v>2223.9</v>
      </c>
      <c r="F20" t="str">
        <f t="shared" si="1"/>
        <v>California</v>
      </c>
      <c r="G20" t="str">
        <f t="shared" si="2"/>
        <v>Lake County</v>
      </c>
      <c r="H20">
        <f t="shared" si="3"/>
        <v>30</v>
      </c>
      <c r="K20" t="str">
        <f t="shared" si="4"/>
        <v>California</v>
      </c>
      <c r="L20" t="str">
        <f t="shared" si="5"/>
        <v>Lake County</v>
      </c>
      <c r="M20">
        <f t="shared" si="6"/>
        <v>2223.9</v>
      </c>
    </row>
    <row r="21" spans="1:13" x14ac:dyDescent="0.3">
      <c r="A21" t="s">
        <v>19</v>
      </c>
      <c r="B21" t="s">
        <v>1426</v>
      </c>
      <c r="C21" s="5">
        <v>1</v>
      </c>
      <c r="D21" s="5">
        <v>26.2</v>
      </c>
      <c r="F21" t="str">
        <f t="shared" si="1"/>
        <v>California</v>
      </c>
      <c r="G21" t="str">
        <f t="shared" si="2"/>
        <v>Lassen County</v>
      </c>
      <c r="H21">
        <f t="shared" si="3"/>
        <v>1</v>
      </c>
      <c r="K21" t="str">
        <f t="shared" si="4"/>
        <v>California</v>
      </c>
      <c r="L21" t="str">
        <f t="shared" si="5"/>
        <v>Lassen County</v>
      </c>
      <c r="M21">
        <f t="shared" si="6"/>
        <v>26.2</v>
      </c>
    </row>
    <row r="22" spans="1:13" x14ac:dyDescent="0.3">
      <c r="A22" t="s">
        <v>19</v>
      </c>
      <c r="B22" t="s">
        <v>33</v>
      </c>
      <c r="C22" s="5">
        <v>3991</v>
      </c>
      <c r="D22" s="5">
        <v>215551.19999999981</v>
      </c>
      <c r="F22" t="str">
        <f t="shared" si="1"/>
        <v>California</v>
      </c>
      <c r="G22" t="str">
        <f t="shared" si="2"/>
        <v>Los Angeles County</v>
      </c>
      <c r="H22">
        <f t="shared" si="3"/>
        <v>3991</v>
      </c>
      <c r="K22" t="str">
        <f t="shared" si="4"/>
        <v>California</v>
      </c>
      <c r="L22" t="str">
        <f t="shared" si="5"/>
        <v>Los Angeles County</v>
      </c>
      <c r="M22">
        <f t="shared" si="6"/>
        <v>215551.19999999981</v>
      </c>
    </row>
    <row r="23" spans="1:13" x14ac:dyDescent="0.3">
      <c r="A23" t="s">
        <v>19</v>
      </c>
      <c r="B23" t="s">
        <v>364</v>
      </c>
      <c r="C23" s="5">
        <v>45</v>
      </c>
      <c r="D23" s="5">
        <v>2687.3999999999996</v>
      </c>
      <c r="F23" t="str">
        <f t="shared" si="1"/>
        <v>California</v>
      </c>
      <c r="G23" t="str">
        <f t="shared" si="2"/>
        <v>Madera County</v>
      </c>
      <c r="H23">
        <f t="shared" si="3"/>
        <v>45</v>
      </c>
      <c r="K23" t="str">
        <f t="shared" si="4"/>
        <v>California</v>
      </c>
      <c r="L23" t="str">
        <f t="shared" si="5"/>
        <v>Madera County</v>
      </c>
      <c r="M23">
        <f t="shared" si="6"/>
        <v>2687.3999999999996</v>
      </c>
    </row>
    <row r="24" spans="1:13" x14ac:dyDescent="0.3">
      <c r="A24" t="s">
        <v>19</v>
      </c>
      <c r="B24" t="s">
        <v>545</v>
      </c>
      <c r="C24" s="5">
        <v>39</v>
      </c>
      <c r="D24" s="5">
        <v>1463.3000000000002</v>
      </c>
      <c r="F24" t="str">
        <f t="shared" si="1"/>
        <v>California</v>
      </c>
      <c r="G24" t="str">
        <f t="shared" si="2"/>
        <v>Marin County</v>
      </c>
      <c r="H24">
        <f t="shared" si="3"/>
        <v>39</v>
      </c>
      <c r="K24" t="str">
        <f t="shared" si="4"/>
        <v>California</v>
      </c>
      <c r="L24" t="str">
        <f t="shared" si="5"/>
        <v>Marin County</v>
      </c>
      <c r="M24">
        <f t="shared" si="6"/>
        <v>1463.3000000000002</v>
      </c>
    </row>
    <row r="25" spans="1:13" x14ac:dyDescent="0.3">
      <c r="A25" t="s">
        <v>19</v>
      </c>
      <c r="B25" t="s">
        <v>416</v>
      </c>
      <c r="C25" s="5">
        <v>6</v>
      </c>
      <c r="D25" s="5">
        <v>445.79999999999995</v>
      </c>
      <c r="F25" t="str">
        <f t="shared" si="1"/>
        <v>California</v>
      </c>
      <c r="G25" t="str">
        <f t="shared" si="2"/>
        <v>Mariposa County</v>
      </c>
      <c r="H25">
        <f t="shared" si="3"/>
        <v>6</v>
      </c>
      <c r="K25" t="str">
        <f t="shared" si="4"/>
        <v>California</v>
      </c>
      <c r="L25" t="str">
        <f t="shared" si="5"/>
        <v>Mariposa County</v>
      </c>
      <c r="M25">
        <f t="shared" si="6"/>
        <v>445.79999999999995</v>
      </c>
    </row>
    <row r="26" spans="1:13" x14ac:dyDescent="0.3">
      <c r="A26" t="s">
        <v>19</v>
      </c>
      <c r="B26" t="s">
        <v>258</v>
      </c>
      <c r="C26" s="5">
        <v>9</v>
      </c>
      <c r="D26" s="5">
        <v>273.59999999999997</v>
      </c>
      <c r="F26" t="str">
        <f t="shared" si="1"/>
        <v>California</v>
      </c>
      <c r="G26" t="str">
        <f t="shared" si="2"/>
        <v>Mendocino County</v>
      </c>
      <c r="H26">
        <f t="shared" si="3"/>
        <v>9</v>
      </c>
      <c r="K26" t="str">
        <f t="shared" si="4"/>
        <v>California</v>
      </c>
      <c r="L26" t="str">
        <f t="shared" si="5"/>
        <v>Mendocino County</v>
      </c>
      <c r="M26">
        <f t="shared" si="6"/>
        <v>273.59999999999997</v>
      </c>
    </row>
    <row r="27" spans="1:13" x14ac:dyDescent="0.3">
      <c r="A27" t="s">
        <v>19</v>
      </c>
      <c r="B27" t="s">
        <v>186</v>
      </c>
      <c r="C27" s="5">
        <v>60</v>
      </c>
      <c r="D27" s="5">
        <v>2690.4</v>
      </c>
      <c r="F27" t="str">
        <f t="shared" si="1"/>
        <v>California</v>
      </c>
      <c r="G27" t="str">
        <f t="shared" si="2"/>
        <v>Merced County</v>
      </c>
      <c r="H27">
        <f t="shared" si="3"/>
        <v>60</v>
      </c>
      <c r="K27" t="str">
        <f t="shared" si="4"/>
        <v>California</v>
      </c>
      <c r="L27" t="str">
        <f t="shared" si="5"/>
        <v>Merced County</v>
      </c>
      <c r="M27">
        <f t="shared" si="6"/>
        <v>2690.4</v>
      </c>
    </row>
    <row r="28" spans="1:13" x14ac:dyDescent="0.3">
      <c r="A28" t="s">
        <v>19</v>
      </c>
      <c r="B28" t="s">
        <v>392</v>
      </c>
      <c r="C28" s="5">
        <v>2</v>
      </c>
      <c r="D28" s="5">
        <v>28.4</v>
      </c>
      <c r="F28" t="str">
        <f t="shared" si="1"/>
        <v>California</v>
      </c>
      <c r="G28" t="str">
        <f t="shared" si="2"/>
        <v>Modoc County</v>
      </c>
      <c r="H28">
        <f t="shared" si="3"/>
        <v>2</v>
      </c>
      <c r="K28" t="str">
        <f t="shared" si="4"/>
        <v>California</v>
      </c>
      <c r="L28" t="str">
        <f t="shared" si="5"/>
        <v>Modoc County</v>
      </c>
      <c r="M28">
        <f t="shared" si="6"/>
        <v>28.4</v>
      </c>
    </row>
    <row r="29" spans="1:13" x14ac:dyDescent="0.3">
      <c r="A29" t="s">
        <v>19</v>
      </c>
      <c r="B29" t="s">
        <v>670</v>
      </c>
      <c r="C29" s="5">
        <v>4</v>
      </c>
      <c r="D29" s="5">
        <v>204.8</v>
      </c>
      <c r="F29" t="str">
        <f t="shared" si="1"/>
        <v>California</v>
      </c>
      <c r="G29" t="str">
        <f t="shared" si="2"/>
        <v>Mono County</v>
      </c>
      <c r="H29">
        <f t="shared" si="3"/>
        <v>4</v>
      </c>
      <c r="K29" t="str">
        <f t="shared" si="4"/>
        <v>California</v>
      </c>
      <c r="L29" t="str">
        <f t="shared" si="5"/>
        <v>Mono County</v>
      </c>
      <c r="M29">
        <f t="shared" si="6"/>
        <v>204.8</v>
      </c>
    </row>
    <row r="30" spans="1:13" x14ac:dyDescent="0.3">
      <c r="A30" t="s">
        <v>19</v>
      </c>
      <c r="B30" t="s">
        <v>802</v>
      </c>
      <c r="C30" s="5">
        <v>31</v>
      </c>
      <c r="D30" s="5">
        <v>1607.8999999999999</v>
      </c>
      <c r="F30" t="str">
        <f t="shared" si="1"/>
        <v>California</v>
      </c>
      <c r="G30" t="str">
        <f t="shared" si="2"/>
        <v>Monterey County</v>
      </c>
      <c r="H30">
        <f t="shared" si="3"/>
        <v>31</v>
      </c>
      <c r="K30" t="str">
        <f t="shared" si="4"/>
        <v>California</v>
      </c>
      <c r="L30" t="str">
        <f t="shared" si="5"/>
        <v>Monterey County</v>
      </c>
      <c r="M30">
        <f t="shared" si="6"/>
        <v>1607.8999999999999</v>
      </c>
    </row>
    <row r="31" spans="1:13" x14ac:dyDescent="0.3">
      <c r="A31" t="s">
        <v>19</v>
      </c>
      <c r="B31" t="s">
        <v>98</v>
      </c>
      <c r="C31" s="5">
        <v>88</v>
      </c>
      <c r="D31" s="5">
        <v>6444.9</v>
      </c>
      <c r="F31" t="str">
        <f t="shared" si="1"/>
        <v>California</v>
      </c>
      <c r="G31" t="str">
        <f t="shared" si="2"/>
        <v>Napa County</v>
      </c>
      <c r="H31">
        <f t="shared" si="3"/>
        <v>88</v>
      </c>
      <c r="K31" t="str">
        <f t="shared" si="4"/>
        <v>California</v>
      </c>
      <c r="L31" t="str">
        <f t="shared" si="5"/>
        <v>Napa County</v>
      </c>
      <c r="M31">
        <f t="shared" si="6"/>
        <v>6444.9</v>
      </c>
    </row>
    <row r="32" spans="1:13" x14ac:dyDescent="0.3">
      <c r="A32" t="s">
        <v>19</v>
      </c>
      <c r="B32" t="s">
        <v>49</v>
      </c>
      <c r="C32" s="5">
        <v>25</v>
      </c>
      <c r="D32" s="5">
        <v>1809.3</v>
      </c>
      <c r="F32" t="str">
        <f t="shared" si="1"/>
        <v>California</v>
      </c>
      <c r="G32" t="str">
        <f t="shared" si="2"/>
        <v>Nevada County</v>
      </c>
      <c r="H32">
        <f t="shared" si="3"/>
        <v>25</v>
      </c>
      <c r="K32" t="str">
        <f t="shared" si="4"/>
        <v>California</v>
      </c>
      <c r="L32" t="str">
        <f t="shared" si="5"/>
        <v>Nevada County</v>
      </c>
      <c r="M32">
        <f t="shared" si="6"/>
        <v>1809.3</v>
      </c>
    </row>
    <row r="33" spans="1:13" x14ac:dyDescent="0.3">
      <c r="A33" t="s">
        <v>19</v>
      </c>
      <c r="B33" t="s">
        <v>188</v>
      </c>
      <c r="C33" s="5">
        <v>178</v>
      </c>
      <c r="D33" s="5">
        <v>9680.399999999996</v>
      </c>
      <c r="F33" t="str">
        <f t="shared" si="1"/>
        <v>California</v>
      </c>
      <c r="G33" t="str">
        <f t="shared" si="2"/>
        <v>Orange County</v>
      </c>
      <c r="H33">
        <f t="shared" si="3"/>
        <v>178</v>
      </c>
      <c r="K33" t="str">
        <f t="shared" si="4"/>
        <v>California</v>
      </c>
      <c r="L33" t="str">
        <f t="shared" si="5"/>
        <v>Orange County</v>
      </c>
      <c r="M33">
        <f t="shared" si="6"/>
        <v>9680.399999999996</v>
      </c>
    </row>
    <row r="34" spans="1:13" x14ac:dyDescent="0.3">
      <c r="A34" t="s">
        <v>19</v>
      </c>
      <c r="B34" t="s">
        <v>52</v>
      </c>
      <c r="C34" s="5">
        <v>141</v>
      </c>
      <c r="D34" s="5">
        <v>9414.7999999999993</v>
      </c>
      <c r="F34" t="str">
        <f t="shared" si="1"/>
        <v>California</v>
      </c>
      <c r="G34" t="str">
        <f t="shared" si="2"/>
        <v>Placer County</v>
      </c>
      <c r="H34">
        <f t="shared" si="3"/>
        <v>141</v>
      </c>
      <c r="K34" t="str">
        <f t="shared" si="4"/>
        <v>California</v>
      </c>
      <c r="L34" t="str">
        <f t="shared" si="5"/>
        <v>Placer County</v>
      </c>
      <c r="M34">
        <f t="shared" si="6"/>
        <v>9414.7999999999993</v>
      </c>
    </row>
    <row r="35" spans="1:13" x14ac:dyDescent="0.3">
      <c r="A35" t="s">
        <v>19</v>
      </c>
      <c r="B35" t="s">
        <v>338</v>
      </c>
      <c r="C35" s="5">
        <v>6</v>
      </c>
      <c r="D35" s="5">
        <v>206.1</v>
      </c>
      <c r="F35" t="str">
        <f t="shared" si="1"/>
        <v>California</v>
      </c>
      <c r="G35" t="str">
        <f t="shared" si="2"/>
        <v>Plumas County</v>
      </c>
      <c r="H35">
        <f t="shared" si="3"/>
        <v>6</v>
      </c>
      <c r="K35" t="str">
        <f t="shared" si="4"/>
        <v>California</v>
      </c>
      <c r="L35" t="str">
        <f t="shared" si="5"/>
        <v>Plumas County</v>
      </c>
      <c r="M35">
        <f t="shared" si="6"/>
        <v>206.1</v>
      </c>
    </row>
    <row r="36" spans="1:13" x14ac:dyDescent="0.3">
      <c r="A36" t="s">
        <v>19</v>
      </c>
      <c r="B36" t="s">
        <v>158</v>
      </c>
      <c r="C36" s="5">
        <v>178</v>
      </c>
      <c r="D36" s="5">
        <v>7691.3</v>
      </c>
      <c r="F36" t="str">
        <f t="shared" si="1"/>
        <v>California</v>
      </c>
      <c r="G36" t="str">
        <f t="shared" si="2"/>
        <v>Riverside County</v>
      </c>
      <c r="H36">
        <f t="shared" si="3"/>
        <v>178</v>
      </c>
      <c r="K36" t="str">
        <f t="shared" si="4"/>
        <v>California</v>
      </c>
      <c r="L36" t="str">
        <f t="shared" si="5"/>
        <v>Riverside County</v>
      </c>
      <c r="M36">
        <f t="shared" si="6"/>
        <v>7691.3</v>
      </c>
    </row>
    <row r="37" spans="1:13" x14ac:dyDescent="0.3">
      <c r="A37" t="s">
        <v>19</v>
      </c>
      <c r="B37" t="s">
        <v>55</v>
      </c>
      <c r="C37" s="5">
        <v>699</v>
      </c>
      <c r="D37" s="5">
        <v>37784.900000000016</v>
      </c>
      <c r="F37" t="str">
        <f t="shared" si="1"/>
        <v>California</v>
      </c>
      <c r="G37" t="str">
        <f t="shared" si="2"/>
        <v>Sacramento County</v>
      </c>
      <c r="H37">
        <f t="shared" si="3"/>
        <v>699</v>
      </c>
      <c r="K37" t="str">
        <f t="shared" si="4"/>
        <v>California</v>
      </c>
      <c r="L37" t="str">
        <f t="shared" si="5"/>
        <v>Sacramento County</v>
      </c>
      <c r="M37">
        <f t="shared" si="6"/>
        <v>37784.900000000016</v>
      </c>
    </row>
    <row r="38" spans="1:13" x14ac:dyDescent="0.3">
      <c r="A38" t="s">
        <v>19</v>
      </c>
      <c r="B38" t="s">
        <v>342</v>
      </c>
      <c r="C38" s="5">
        <v>23</v>
      </c>
      <c r="D38" s="5">
        <v>1129.7</v>
      </c>
      <c r="F38" t="str">
        <f t="shared" si="1"/>
        <v>California</v>
      </c>
      <c r="G38" t="str">
        <f t="shared" si="2"/>
        <v>San Benito County</v>
      </c>
      <c r="H38">
        <f t="shared" si="3"/>
        <v>23</v>
      </c>
      <c r="K38" t="str">
        <f t="shared" si="4"/>
        <v>California</v>
      </c>
      <c r="L38" t="str">
        <f t="shared" si="5"/>
        <v>San Benito County</v>
      </c>
      <c r="M38">
        <f t="shared" si="6"/>
        <v>1129.7</v>
      </c>
    </row>
    <row r="39" spans="1:13" x14ac:dyDescent="0.3">
      <c r="A39" t="s">
        <v>19</v>
      </c>
      <c r="B39" t="s">
        <v>59</v>
      </c>
      <c r="C39" s="5">
        <v>356</v>
      </c>
      <c r="D39" s="5">
        <v>20988.9</v>
      </c>
      <c r="F39" t="str">
        <f t="shared" si="1"/>
        <v>California</v>
      </c>
      <c r="G39" t="str">
        <f t="shared" si="2"/>
        <v>San Bernardino County</v>
      </c>
      <c r="H39">
        <f t="shared" si="3"/>
        <v>356</v>
      </c>
      <c r="K39" t="str">
        <f t="shared" si="4"/>
        <v>California</v>
      </c>
      <c r="L39" t="str">
        <f t="shared" si="5"/>
        <v>San Bernardino County</v>
      </c>
      <c r="M39">
        <f t="shared" si="6"/>
        <v>20988.9</v>
      </c>
    </row>
    <row r="40" spans="1:13" x14ac:dyDescent="0.3">
      <c r="A40" t="s">
        <v>19</v>
      </c>
      <c r="B40" t="s">
        <v>62</v>
      </c>
      <c r="C40" s="5">
        <v>1768</v>
      </c>
      <c r="D40" s="5">
        <v>98367.099999999977</v>
      </c>
      <c r="F40" t="str">
        <f t="shared" si="1"/>
        <v>California</v>
      </c>
      <c r="G40" t="str">
        <f t="shared" si="2"/>
        <v>San Diego County</v>
      </c>
      <c r="H40">
        <f t="shared" si="3"/>
        <v>1768</v>
      </c>
      <c r="K40" t="str">
        <f t="shared" si="4"/>
        <v>California</v>
      </c>
      <c r="L40" t="str">
        <f t="shared" si="5"/>
        <v>San Diego County</v>
      </c>
      <c r="M40">
        <f t="shared" si="6"/>
        <v>98367.099999999977</v>
      </c>
    </row>
    <row r="41" spans="1:13" x14ac:dyDescent="0.3">
      <c r="A41" t="s">
        <v>19</v>
      </c>
      <c r="B41" t="s">
        <v>103</v>
      </c>
      <c r="C41" s="5">
        <v>307</v>
      </c>
      <c r="D41" s="5">
        <v>21911.9</v>
      </c>
      <c r="F41" t="str">
        <f t="shared" si="1"/>
        <v>California</v>
      </c>
      <c r="G41" t="str">
        <f t="shared" si="2"/>
        <v>San Francisco</v>
      </c>
      <c r="H41">
        <f t="shared" si="3"/>
        <v>307</v>
      </c>
      <c r="K41" t="str">
        <f t="shared" si="4"/>
        <v>California</v>
      </c>
      <c r="L41" t="str">
        <f t="shared" si="5"/>
        <v>San Francisco</v>
      </c>
      <c r="M41">
        <f t="shared" si="6"/>
        <v>21911.9</v>
      </c>
    </row>
    <row r="42" spans="1:13" x14ac:dyDescent="0.3">
      <c r="A42" t="s">
        <v>19</v>
      </c>
      <c r="B42" t="s">
        <v>201</v>
      </c>
      <c r="C42" s="5">
        <v>117</v>
      </c>
      <c r="D42" s="5">
        <v>5441.2</v>
      </c>
      <c r="F42" t="str">
        <f t="shared" si="1"/>
        <v>California</v>
      </c>
      <c r="G42" t="str">
        <f t="shared" si="2"/>
        <v>San Joaquin County</v>
      </c>
      <c r="H42">
        <f t="shared" si="3"/>
        <v>117</v>
      </c>
      <c r="K42" t="str">
        <f t="shared" si="4"/>
        <v>California</v>
      </c>
      <c r="L42" t="str">
        <f t="shared" si="5"/>
        <v>San Joaquin County</v>
      </c>
      <c r="M42">
        <f t="shared" si="6"/>
        <v>5441.2</v>
      </c>
    </row>
    <row r="43" spans="1:13" x14ac:dyDescent="0.3">
      <c r="A43" t="s">
        <v>19</v>
      </c>
      <c r="B43" t="s">
        <v>429</v>
      </c>
      <c r="C43" s="5">
        <v>13</v>
      </c>
      <c r="D43" s="5">
        <v>392.8</v>
      </c>
      <c r="F43" t="str">
        <f t="shared" si="1"/>
        <v>California</v>
      </c>
      <c r="G43" t="str">
        <f t="shared" si="2"/>
        <v>San Luis Obispo County</v>
      </c>
      <c r="H43">
        <f t="shared" si="3"/>
        <v>13</v>
      </c>
      <c r="K43" t="str">
        <f t="shared" si="4"/>
        <v>California</v>
      </c>
      <c r="L43" t="str">
        <f t="shared" si="5"/>
        <v>San Luis Obispo County</v>
      </c>
      <c r="M43">
        <f t="shared" si="6"/>
        <v>392.8</v>
      </c>
    </row>
    <row r="44" spans="1:13" x14ac:dyDescent="0.3">
      <c r="A44" t="s">
        <v>19</v>
      </c>
      <c r="B44" t="s">
        <v>72</v>
      </c>
      <c r="C44" s="5">
        <v>364</v>
      </c>
      <c r="D44" s="5">
        <v>16172.000000000005</v>
      </c>
      <c r="F44" t="str">
        <f t="shared" si="1"/>
        <v>California</v>
      </c>
      <c r="G44" t="str">
        <f t="shared" si="2"/>
        <v>San Mateo County</v>
      </c>
      <c r="H44">
        <f t="shared" si="3"/>
        <v>364</v>
      </c>
      <c r="K44" t="str">
        <f t="shared" si="4"/>
        <v>California</v>
      </c>
      <c r="L44" t="str">
        <f t="shared" si="5"/>
        <v>San Mateo County</v>
      </c>
      <c r="M44">
        <f t="shared" si="6"/>
        <v>16172.000000000005</v>
      </c>
    </row>
    <row r="45" spans="1:13" x14ac:dyDescent="0.3">
      <c r="A45" t="s">
        <v>19</v>
      </c>
      <c r="B45" t="s">
        <v>74</v>
      </c>
      <c r="C45" s="5">
        <v>95</v>
      </c>
      <c r="D45" s="5">
        <v>4334.9999999999991</v>
      </c>
      <c r="F45" t="str">
        <f t="shared" si="1"/>
        <v>California</v>
      </c>
      <c r="G45" t="str">
        <f t="shared" si="2"/>
        <v>Santa Barbara County</v>
      </c>
      <c r="H45">
        <f t="shared" si="3"/>
        <v>95</v>
      </c>
      <c r="K45" t="str">
        <f t="shared" si="4"/>
        <v>California</v>
      </c>
      <c r="L45" t="str">
        <f t="shared" si="5"/>
        <v>Santa Barbara County</v>
      </c>
      <c r="M45">
        <f t="shared" si="6"/>
        <v>4334.9999999999991</v>
      </c>
    </row>
    <row r="46" spans="1:13" x14ac:dyDescent="0.3">
      <c r="A46" t="s">
        <v>19</v>
      </c>
      <c r="B46" t="s">
        <v>77</v>
      </c>
      <c r="C46" s="5">
        <v>737</v>
      </c>
      <c r="D46" s="5">
        <v>37449.000000000007</v>
      </c>
      <c r="F46" t="str">
        <f t="shared" si="1"/>
        <v>California</v>
      </c>
      <c r="G46" t="str">
        <f t="shared" si="2"/>
        <v>Santa Clara County</v>
      </c>
      <c r="H46">
        <f t="shared" si="3"/>
        <v>737</v>
      </c>
      <c r="K46" t="str">
        <f t="shared" si="4"/>
        <v>California</v>
      </c>
      <c r="L46" t="str">
        <f t="shared" si="5"/>
        <v>Santa Clara County</v>
      </c>
      <c r="M46">
        <f t="shared" si="6"/>
        <v>37449.000000000007</v>
      </c>
    </row>
    <row r="47" spans="1:13" x14ac:dyDescent="0.3">
      <c r="A47" t="s">
        <v>19</v>
      </c>
      <c r="B47" t="s">
        <v>309</v>
      </c>
      <c r="C47" s="5">
        <v>39</v>
      </c>
      <c r="D47" s="5">
        <v>2447.5</v>
      </c>
      <c r="F47" t="str">
        <f t="shared" si="1"/>
        <v>California</v>
      </c>
      <c r="G47" t="str">
        <f t="shared" si="2"/>
        <v>Santa Cruz County</v>
      </c>
      <c r="H47">
        <f t="shared" si="3"/>
        <v>39</v>
      </c>
      <c r="K47" t="str">
        <f t="shared" si="4"/>
        <v>California</v>
      </c>
      <c r="L47" t="str">
        <f t="shared" si="5"/>
        <v>Santa Cruz County</v>
      </c>
      <c r="M47">
        <f t="shared" si="6"/>
        <v>2447.5</v>
      </c>
    </row>
    <row r="48" spans="1:13" x14ac:dyDescent="0.3">
      <c r="A48" t="s">
        <v>19</v>
      </c>
      <c r="B48" t="s">
        <v>1116</v>
      </c>
      <c r="C48" s="5">
        <v>56</v>
      </c>
      <c r="D48" s="5">
        <v>3391.1</v>
      </c>
      <c r="F48" t="str">
        <f t="shared" si="1"/>
        <v>California</v>
      </c>
      <c r="G48" t="str">
        <f t="shared" si="2"/>
        <v>Shasta County</v>
      </c>
      <c r="H48">
        <f t="shared" si="3"/>
        <v>56</v>
      </c>
      <c r="K48" t="str">
        <f t="shared" si="4"/>
        <v>California</v>
      </c>
      <c r="L48" t="str">
        <f t="shared" si="5"/>
        <v>Shasta County</v>
      </c>
      <c r="M48">
        <f t="shared" si="6"/>
        <v>3391.1</v>
      </c>
    </row>
    <row r="49" spans="1:13" x14ac:dyDescent="0.3">
      <c r="A49" t="s">
        <v>19</v>
      </c>
      <c r="B49" t="s">
        <v>700</v>
      </c>
      <c r="C49" s="5">
        <v>2</v>
      </c>
      <c r="D49" s="5">
        <v>30.8</v>
      </c>
      <c r="F49" t="str">
        <f t="shared" si="1"/>
        <v>California</v>
      </c>
      <c r="G49" t="str">
        <f t="shared" si="2"/>
        <v>Sierra County</v>
      </c>
      <c r="H49">
        <f t="shared" si="3"/>
        <v>2</v>
      </c>
      <c r="K49" t="str">
        <f t="shared" si="4"/>
        <v>California</v>
      </c>
      <c r="L49" t="str">
        <f t="shared" si="5"/>
        <v>Sierra County</v>
      </c>
      <c r="M49">
        <f t="shared" si="6"/>
        <v>30.8</v>
      </c>
    </row>
    <row r="50" spans="1:13" x14ac:dyDescent="0.3">
      <c r="A50" t="s">
        <v>19</v>
      </c>
      <c r="B50" t="s">
        <v>268</v>
      </c>
      <c r="C50" s="5">
        <v>8</v>
      </c>
      <c r="D50" s="5">
        <v>332.3</v>
      </c>
      <c r="F50" t="str">
        <f t="shared" si="1"/>
        <v>California</v>
      </c>
      <c r="G50" t="str">
        <f t="shared" si="2"/>
        <v>Siskiyou County</v>
      </c>
      <c r="H50">
        <f t="shared" si="3"/>
        <v>8</v>
      </c>
      <c r="K50" t="str">
        <f t="shared" si="4"/>
        <v>California</v>
      </c>
      <c r="L50" t="str">
        <f t="shared" si="5"/>
        <v>Siskiyou County</v>
      </c>
      <c r="M50">
        <f t="shared" si="6"/>
        <v>332.3</v>
      </c>
    </row>
    <row r="51" spans="1:13" x14ac:dyDescent="0.3">
      <c r="A51" t="s">
        <v>19</v>
      </c>
      <c r="B51" t="s">
        <v>377</v>
      </c>
      <c r="C51" s="5">
        <v>52</v>
      </c>
      <c r="D51" s="5">
        <v>3175.9999999999995</v>
      </c>
      <c r="F51" t="str">
        <f t="shared" si="1"/>
        <v>California</v>
      </c>
      <c r="G51" t="str">
        <f t="shared" si="2"/>
        <v>Solano County</v>
      </c>
      <c r="H51">
        <f t="shared" si="3"/>
        <v>52</v>
      </c>
      <c r="K51" t="str">
        <f t="shared" si="4"/>
        <v>California</v>
      </c>
      <c r="L51" t="str">
        <f t="shared" si="5"/>
        <v>Solano County</v>
      </c>
      <c r="M51">
        <f t="shared" si="6"/>
        <v>3175.9999999999995</v>
      </c>
    </row>
    <row r="52" spans="1:13" x14ac:dyDescent="0.3">
      <c r="A52" t="s">
        <v>19</v>
      </c>
      <c r="B52" t="s">
        <v>108</v>
      </c>
      <c r="C52" s="5">
        <v>295</v>
      </c>
      <c r="D52" s="5">
        <v>20939.600000000002</v>
      </c>
      <c r="F52" t="str">
        <f t="shared" si="1"/>
        <v>California</v>
      </c>
      <c r="G52" t="str">
        <f t="shared" si="2"/>
        <v>Sonoma County</v>
      </c>
      <c r="H52">
        <f t="shared" si="3"/>
        <v>295</v>
      </c>
      <c r="K52" t="str">
        <f t="shared" si="4"/>
        <v>California</v>
      </c>
      <c r="L52" t="str">
        <f t="shared" si="5"/>
        <v>Sonoma County</v>
      </c>
      <c r="M52">
        <f t="shared" si="6"/>
        <v>20939.600000000002</v>
      </c>
    </row>
    <row r="53" spans="1:13" x14ac:dyDescent="0.3">
      <c r="A53" t="s">
        <v>19</v>
      </c>
      <c r="B53" t="s">
        <v>110</v>
      </c>
      <c r="C53" s="5">
        <v>195</v>
      </c>
      <c r="D53" s="5">
        <v>10185.899999999996</v>
      </c>
      <c r="F53" t="str">
        <f t="shared" si="1"/>
        <v>California</v>
      </c>
      <c r="G53" t="str">
        <f t="shared" si="2"/>
        <v>Stanislaus County</v>
      </c>
      <c r="H53">
        <f t="shared" si="3"/>
        <v>195</v>
      </c>
      <c r="K53" t="str">
        <f t="shared" si="4"/>
        <v>California</v>
      </c>
      <c r="L53" t="str">
        <f t="shared" si="5"/>
        <v>Stanislaus County</v>
      </c>
      <c r="M53">
        <f t="shared" si="6"/>
        <v>10185.899999999996</v>
      </c>
    </row>
    <row r="54" spans="1:13" x14ac:dyDescent="0.3">
      <c r="A54" t="s">
        <v>19</v>
      </c>
      <c r="B54" t="s">
        <v>292</v>
      </c>
      <c r="C54" s="5">
        <v>20</v>
      </c>
      <c r="D54" s="5">
        <v>958.7</v>
      </c>
      <c r="F54" t="str">
        <f t="shared" si="1"/>
        <v>California</v>
      </c>
      <c r="G54" t="str">
        <f t="shared" si="2"/>
        <v>Sutter County</v>
      </c>
      <c r="H54">
        <f t="shared" si="3"/>
        <v>20</v>
      </c>
      <c r="K54" t="str">
        <f t="shared" si="4"/>
        <v>California</v>
      </c>
      <c r="L54" t="str">
        <f t="shared" si="5"/>
        <v>Sutter County</v>
      </c>
      <c r="M54">
        <f t="shared" si="6"/>
        <v>958.7</v>
      </c>
    </row>
    <row r="55" spans="1:13" x14ac:dyDescent="0.3">
      <c r="A55" t="s">
        <v>19</v>
      </c>
      <c r="B55" t="s">
        <v>79</v>
      </c>
      <c r="C55" s="5">
        <v>6</v>
      </c>
      <c r="D55" s="5">
        <v>323</v>
      </c>
      <c r="F55" t="str">
        <f t="shared" si="1"/>
        <v>California</v>
      </c>
      <c r="G55" t="str">
        <f t="shared" si="2"/>
        <v>Tehama County</v>
      </c>
      <c r="H55">
        <f t="shared" si="3"/>
        <v>6</v>
      </c>
      <c r="K55" t="str">
        <f t="shared" si="4"/>
        <v>California</v>
      </c>
      <c r="L55" t="str">
        <f t="shared" si="5"/>
        <v>Tehama County</v>
      </c>
      <c r="M55">
        <f t="shared" si="6"/>
        <v>323</v>
      </c>
    </row>
    <row r="56" spans="1:13" x14ac:dyDescent="0.3">
      <c r="A56" t="s">
        <v>19</v>
      </c>
      <c r="B56" t="s">
        <v>608</v>
      </c>
      <c r="C56" s="5">
        <v>5</v>
      </c>
      <c r="D56" s="5">
        <v>167.70000000000002</v>
      </c>
      <c r="F56" t="str">
        <f t="shared" si="1"/>
        <v>California</v>
      </c>
      <c r="G56" t="str">
        <f t="shared" si="2"/>
        <v>Trinity County</v>
      </c>
      <c r="H56">
        <f t="shared" si="3"/>
        <v>5</v>
      </c>
      <c r="K56" t="str">
        <f t="shared" si="4"/>
        <v>California</v>
      </c>
      <c r="L56" t="str">
        <f t="shared" si="5"/>
        <v>Trinity County</v>
      </c>
      <c r="M56">
        <f t="shared" si="6"/>
        <v>167.70000000000002</v>
      </c>
    </row>
    <row r="57" spans="1:13" x14ac:dyDescent="0.3">
      <c r="A57" t="s">
        <v>19</v>
      </c>
      <c r="B57" t="s">
        <v>113</v>
      </c>
      <c r="C57" s="5">
        <v>94</v>
      </c>
      <c r="D57" s="5">
        <v>3978.5</v>
      </c>
      <c r="F57" t="str">
        <f t="shared" si="1"/>
        <v>California</v>
      </c>
      <c r="G57" t="str">
        <f t="shared" si="2"/>
        <v>Tulare County</v>
      </c>
      <c r="H57">
        <f t="shared" si="3"/>
        <v>94</v>
      </c>
      <c r="K57" t="str">
        <f t="shared" si="4"/>
        <v>California</v>
      </c>
      <c r="L57" t="str">
        <f t="shared" si="5"/>
        <v>Tulare County</v>
      </c>
      <c r="M57">
        <f t="shared" si="6"/>
        <v>3978.5</v>
      </c>
    </row>
    <row r="58" spans="1:13" x14ac:dyDescent="0.3">
      <c r="A58" t="s">
        <v>19</v>
      </c>
      <c r="B58" t="s">
        <v>997</v>
      </c>
      <c r="C58" s="5">
        <v>28</v>
      </c>
      <c r="D58" s="5">
        <v>1405</v>
      </c>
      <c r="F58" t="str">
        <f t="shared" si="1"/>
        <v>California</v>
      </c>
      <c r="G58" t="str">
        <f t="shared" si="2"/>
        <v>Tuolumne County</v>
      </c>
      <c r="H58">
        <f t="shared" si="3"/>
        <v>28</v>
      </c>
      <c r="K58" t="str">
        <f t="shared" si="4"/>
        <v>California</v>
      </c>
      <c r="L58" t="str">
        <f t="shared" si="5"/>
        <v>Tuolumne County</v>
      </c>
      <c r="M58">
        <f t="shared" si="6"/>
        <v>1405</v>
      </c>
    </row>
    <row r="59" spans="1:13" x14ac:dyDescent="0.3">
      <c r="A59" t="s">
        <v>19</v>
      </c>
      <c r="B59" t="s">
        <v>82</v>
      </c>
      <c r="C59" s="5">
        <v>179</v>
      </c>
      <c r="D59" s="5">
        <v>9869.0999999999985</v>
      </c>
      <c r="F59" t="str">
        <f t="shared" si="1"/>
        <v>California</v>
      </c>
      <c r="G59" t="str">
        <f t="shared" si="2"/>
        <v>Ventura County</v>
      </c>
      <c r="H59">
        <f t="shared" si="3"/>
        <v>179</v>
      </c>
      <c r="K59" t="str">
        <f t="shared" si="4"/>
        <v>California</v>
      </c>
      <c r="L59" t="str">
        <f t="shared" si="5"/>
        <v>Ventura County</v>
      </c>
      <c r="M59">
        <f t="shared" si="6"/>
        <v>9869.0999999999985</v>
      </c>
    </row>
    <row r="60" spans="1:13" x14ac:dyDescent="0.3">
      <c r="A60" t="s">
        <v>19</v>
      </c>
      <c r="B60" t="s">
        <v>243</v>
      </c>
      <c r="C60" s="5">
        <v>15</v>
      </c>
      <c r="D60" s="5">
        <v>615.29999999999995</v>
      </c>
      <c r="F60" t="str">
        <f t="shared" si="1"/>
        <v>California</v>
      </c>
      <c r="G60" t="str">
        <f t="shared" si="2"/>
        <v>Yolo County</v>
      </c>
      <c r="H60">
        <f t="shared" si="3"/>
        <v>15</v>
      </c>
      <c r="K60" t="str">
        <f t="shared" si="4"/>
        <v>California</v>
      </c>
      <c r="L60" t="str">
        <f t="shared" si="5"/>
        <v>Yolo County</v>
      </c>
      <c r="M60">
        <f t="shared" si="6"/>
        <v>615.29999999999995</v>
      </c>
    </row>
    <row r="61" spans="1:13" x14ac:dyDescent="0.3">
      <c r="A61" t="s">
        <v>19</v>
      </c>
      <c r="B61" t="s">
        <v>1911</v>
      </c>
      <c r="C61" s="5">
        <v>3</v>
      </c>
      <c r="D61" s="5">
        <v>285</v>
      </c>
      <c r="F61" t="str">
        <f t="shared" si="1"/>
        <v>California</v>
      </c>
      <c r="G61" t="str">
        <f t="shared" si="2"/>
        <v>Yuba County</v>
      </c>
      <c r="H61">
        <f t="shared" si="3"/>
        <v>3</v>
      </c>
      <c r="K61" t="str">
        <f t="shared" si="4"/>
        <v>California</v>
      </c>
      <c r="L61" t="str">
        <f t="shared" si="5"/>
        <v>Yuba County</v>
      </c>
      <c r="M61">
        <f t="shared" si="6"/>
        <v>285</v>
      </c>
    </row>
    <row r="62" spans="1:13" x14ac:dyDescent="0.3">
      <c r="K62" t="str">
        <f t="shared" si="4"/>
        <v/>
      </c>
    </row>
    <row r="63" spans="1:13" x14ac:dyDescent="0.3">
      <c r="K63" t="str">
        <f t="shared" si="4"/>
        <v/>
      </c>
    </row>
    <row r="64" spans="1:13" x14ac:dyDescent="0.3">
      <c r="K64" t="str">
        <f t="shared" si="4"/>
        <v/>
      </c>
    </row>
    <row r="65" spans="11:11" x14ac:dyDescent="0.3">
      <c r="K65" t="str">
        <f t="shared" si="4"/>
        <v/>
      </c>
    </row>
    <row r="66" spans="11:11" x14ac:dyDescent="0.3">
      <c r="K66" t="str">
        <f t="shared" si="4"/>
        <v/>
      </c>
    </row>
    <row r="67" spans="11:11" x14ac:dyDescent="0.3">
      <c r="K67" t="str">
        <f t="shared" si="4"/>
        <v/>
      </c>
    </row>
    <row r="68" spans="11:11" x14ac:dyDescent="0.3">
      <c r="K68" t="str">
        <f t="shared" si="4"/>
        <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EB10-B2DC-4A2D-831B-AF4821F2AC7A}">
  <dimension ref="A3:G29"/>
  <sheetViews>
    <sheetView topLeftCell="A12" zoomScaleNormal="100" workbookViewId="0">
      <selection activeCell="B26" sqref="B26"/>
    </sheetView>
  </sheetViews>
  <sheetFormatPr defaultRowHeight="14.4" x14ac:dyDescent="0.3"/>
  <cols>
    <col min="1" max="1" width="12.44140625" bestFit="1" customWidth="1"/>
    <col min="2" max="2" width="12.21875" bestFit="1" customWidth="1"/>
    <col min="3" max="4" width="4" bestFit="1" customWidth="1"/>
    <col min="5" max="5" width="5" bestFit="1" customWidth="1"/>
    <col min="6" max="6" width="4" bestFit="1" customWidth="1"/>
    <col min="7" max="7" width="10.5546875" bestFit="1" customWidth="1"/>
    <col min="8" max="10" width="8" bestFit="1" customWidth="1"/>
    <col min="11" max="32" width="9" bestFit="1" customWidth="1"/>
    <col min="33" max="41" width="8.44140625" bestFit="1" customWidth="1"/>
    <col min="42" max="60" width="9.44140625" bestFit="1" customWidth="1"/>
    <col min="61" max="69" width="8.44140625" bestFit="1" customWidth="1"/>
    <col min="70" max="89" width="9.44140625" bestFit="1" customWidth="1"/>
    <col min="90" max="90" width="10.5546875" bestFit="1" customWidth="1"/>
  </cols>
  <sheetData>
    <row r="3" spans="1:2" x14ac:dyDescent="0.3">
      <c r="A3" s="6" t="s">
        <v>2528</v>
      </c>
      <c r="B3" t="s">
        <v>2519</v>
      </c>
    </row>
    <row r="4" spans="1:2" x14ac:dyDescent="0.3">
      <c r="A4" s="7">
        <v>0</v>
      </c>
      <c r="B4" s="5">
        <v>175</v>
      </c>
    </row>
    <row r="5" spans="1:2" x14ac:dyDescent="0.3">
      <c r="A5" s="7">
        <v>1</v>
      </c>
      <c r="B5" s="5">
        <v>888</v>
      </c>
    </row>
    <row r="6" spans="1:2" x14ac:dyDescent="0.3">
      <c r="A6" s="7">
        <v>2</v>
      </c>
      <c r="B6" s="5">
        <v>538</v>
      </c>
    </row>
    <row r="7" spans="1:2" x14ac:dyDescent="0.3">
      <c r="A7" s="7">
        <v>3</v>
      </c>
      <c r="B7" s="5">
        <v>344</v>
      </c>
    </row>
    <row r="8" spans="1:2" x14ac:dyDescent="0.3">
      <c r="A8" s="7">
        <v>4</v>
      </c>
      <c r="B8" s="5">
        <v>200</v>
      </c>
    </row>
    <row r="9" spans="1:2" x14ac:dyDescent="0.3">
      <c r="A9" s="7">
        <v>5</v>
      </c>
      <c r="B9" s="5">
        <v>94</v>
      </c>
    </row>
    <row r="10" spans="1:2" x14ac:dyDescent="0.3">
      <c r="A10" s="7">
        <v>6</v>
      </c>
      <c r="B10" s="5">
        <v>51</v>
      </c>
    </row>
    <row r="11" spans="1:2" x14ac:dyDescent="0.3">
      <c r="A11" s="7">
        <v>7</v>
      </c>
      <c r="B11" s="5">
        <v>32</v>
      </c>
    </row>
    <row r="12" spans="1:2" x14ac:dyDescent="0.3">
      <c r="A12" s="7">
        <v>8</v>
      </c>
      <c r="B12" s="5">
        <v>23</v>
      </c>
    </row>
    <row r="13" spans="1:2" x14ac:dyDescent="0.3">
      <c r="A13" s="7">
        <v>9</v>
      </c>
      <c r="B13" s="5">
        <v>9</v>
      </c>
    </row>
    <row r="14" spans="1:2" x14ac:dyDescent="0.3">
      <c r="A14" s="7">
        <v>10</v>
      </c>
      <c r="B14" s="5">
        <v>8</v>
      </c>
    </row>
    <row r="15" spans="1:2" x14ac:dyDescent="0.3">
      <c r="A15" s="7">
        <v>11</v>
      </c>
      <c r="B15" s="5">
        <v>11</v>
      </c>
    </row>
    <row r="16" spans="1:2" x14ac:dyDescent="0.3">
      <c r="A16" s="7">
        <v>12</v>
      </c>
      <c r="B16" s="5">
        <v>4</v>
      </c>
    </row>
    <row r="17" spans="1:7" x14ac:dyDescent="0.3">
      <c r="A17" s="7">
        <v>13</v>
      </c>
      <c r="B17" s="5">
        <v>10</v>
      </c>
    </row>
    <row r="18" spans="1:7" x14ac:dyDescent="0.3">
      <c r="A18" s="7">
        <v>14</v>
      </c>
      <c r="B18" s="5">
        <v>13</v>
      </c>
    </row>
    <row r="19" spans="1:7" x14ac:dyDescent="0.3">
      <c r="A19" s="7" t="s">
        <v>2529</v>
      </c>
      <c r="B19" s="5">
        <v>2400</v>
      </c>
    </row>
    <row r="20" spans="1:7" x14ac:dyDescent="0.3">
      <c r="A20" s="7"/>
      <c r="B20" s="5"/>
    </row>
    <row r="21" spans="1:7" x14ac:dyDescent="0.3">
      <c r="A21" s="7"/>
      <c r="B21" s="5"/>
    </row>
    <row r="22" spans="1:7" x14ac:dyDescent="0.3">
      <c r="A22" t="s">
        <v>2544</v>
      </c>
    </row>
    <row r="24" spans="1:7" x14ac:dyDescent="0.3">
      <c r="A24" s="6" t="s">
        <v>2519</v>
      </c>
      <c r="B24" s="6" t="s">
        <v>2530</v>
      </c>
    </row>
    <row r="25" spans="1:7" x14ac:dyDescent="0.3">
      <c r="A25" s="6" t="s">
        <v>2528</v>
      </c>
      <c r="B25">
        <v>1</v>
      </c>
      <c r="C25">
        <v>2</v>
      </c>
      <c r="D25">
        <v>3</v>
      </c>
      <c r="E25">
        <v>4</v>
      </c>
      <c r="F25">
        <v>5</v>
      </c>
      <c r="G25" t="s">
        <v>2529</v>
      </c>
    </row>
    <row r="26" spans="1:7" x14ac:dyDescent="0.3">
      <c r="A26" s="7" t="s">
        <v>2535</v>
      </c>
      <c r="B26" s="5">
        <v>7</v>
      </c>
      <c r="C26" s="5">
        <v>37</v>
      </c>
      <c r="D26" s="5">
        <v>150</v>
      </c>
      <c r="E26" s="5">
        <v>312</v>
      </c>
      <c r="F26" s="5">
        <v>224</v>
      </c>
      <c r="G26" s="5">
        <v>730</v>
      </c>
    </row>
    <row r="27" spans="1:7" x14ac:dyDescent="0.3">
      <c r="A27" s="7" t="s">
        <v>2536</v>
      </c>
      <c r="B27" s="5">
        <v>8</v>
      </c>
      <c r="C27" s="5">
        <v>51</v>
      </c>
      <c r="D27" s="5">
        <v>182</v>
      </c>
      <c r="E27" s="5">
        <v>373</v>
      </c>
      <c r="F27" s="5">
        <v>247</v>
      </c>
      <c r="G27" s="5">
        <v>861</v>
      </c>
    </row>
    <row r="28" spans="1:7" x14ac:dyDescent="0.3">
      <c r="A28" s="7" t="s">
        <v>2537</v>
      </c>
      <c r="B28" s="5">
        <v>6</v>
      </c>
      <c r="C28" s="5">
        <v>39</v>
      </c>
      <c r="D28" s="5">
        <v>163</v>
      </c>
      <c r="E28" s="5">
        <v>351</v>
      </c>
      <c r="F28" s="5">
        <v>250</v>
      </c>
      <c r="G28" s="5">
        <v>809</v>
      </c>
    </row>
    <row r="29" spans="1:7" x14ac:dyDescent="0.3">
      <c r="A29" s="7" t="s">
        <v>2529</v>
      </c>
      <c r="B29" s="5">
        <v>21</v>
      </c>
      <c r="C29" s="5">
        <v>127</v>
      </c>
      <c r="D29" s="5">
        <v>495</v>
      </c>
      <c r="E29" s="5">
        <v>1036</v>
      </c>
      <c r="F29" s="5">
        <v>721</v>
      </c>
      <c r="G29" s="5">
        <v>2400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4" sqref="B14"/>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Pivots</vt:lpstr>
      <vt:lpstr>Order Mode</vt:lpstr>
      <vt:lpstr>Quantity Distribution</vt:lpstr>
      <vt:lpstr>Popular Products</vt:lpstr>
      <vt:lpstr>Map Chart</vt:lpstr>
      <vt:lpstr>Ship Order</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Ritik Devrani</cp:lastModifiedBy>
  <dcterms:created xsi:type="dcterms:W3CDTF">2025-06-13T02:42:26Z</dcterms:created>
  <dcterms:modified xsi:type="dcterms:W3CDTF">2026-04-07T09:57:07Z</dcterms:modified>
</cp:coreProperties>
</file>